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vergara/Desktop/CFA/modelo de sostenibilidad fiscal TOT/data/"/>
    </mc:Choice>
  </mc:AlternateContent>
  <xr:revisionPtr revIDLastSave="0" documentId="13_ncr:1_{4A12452B-C501-E74D-B488-0376F3F963C0}" xr6:coauthVersionLast="47" xr6:coauthVersionMax="47" xr10:uidLastSave="{00000000-0000-0000-0000-000000000000}"/>
  <bookViews>
    <workbookView xWindow="0" yWindow="460" windowWidth="25600" windowHeight="14400" xr2:uid="{00000000-000D-0000-FFFF-FFFF00000000}"/>
  </bookViews>
  <sheets>
    <sheet name="Data" sheetId="4" r:id="rId1"/>
    <sheet name="Fuen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4" l="1"/>
  <c r="B93" i="4" s="1"/>
  <c r="D94" i="4" l="1"/>
  <c r="B94" i="4" s="1"/>
</calcChain>
</file>

<file path=xl/sharedStrings.xml><?xml version="1.0" encoding="utf-8"?>
<sst xmlns="http://schemas.openxmlformats.org/spreadsheetml/2006/main" count="14" uniqueCount="11">
  <si>
    <t>year</t>
  </si>
  <si>
    <t>adr_young</t>
  </si>
  <si>
    <t>adr_old</t>
  </si>
  <si>
    <t>adr</t>
  </si>
  <si>
    <t>https://databank.worldbank.org/source/population-estimates-and-projections/Type/TABLE/preview/on</t>
  </si>
  <si>
    <t>Fuente:</t>
  </si>
  <si>
    <t>Old Age Dependency Ratio: WB WDI, Population estimates and projections</t>
  </si>
  <si>
    <t>Descpición:</t>
  </si>
  <si>
    <t>Age dependency ratio, old, is the ratio of older dependents--people older than 64--to the working-age population--those ages 15-64. Data are shown as the proportion of dependents per 100 working-age population</t>
  </si>
  <si>
    <t>Age dependency ratio is the ratio of dependents--people younger than 15 or older than 64--to the working-age population--those ages 15-64. Data are shown as the proportion of dependents per 100 working-age population</t>
  </si>
  <si>
    <t>Age dependency ratio, young, is the ratio of younger dependents--people younger than 15--to the working-age population--those ages 15-64. Data are shown as the proportion of dependents per 100 working-age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</si>
</sst>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18" fillId="0" borderId="0" xfId="42"/>
    <xf numFmtId="0" fontId="0" fillId="0" borderId="0" xfId="0" applyBorder="1"/>
    <xf numFmtId="2" fontId="0" fillId="0" borderId="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bank.worldbank.org/source/population-estimates-and-projections/Type/TABLE/preview/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E018-A82C-1045-82A7-31AE3393AD9B}">
  <dimension ref="A1:D96"/>
  <sheetViews>
    <sheetView tabSelected="1" workbookViewId="0">
      <selection activeCell="A11" sqref="A11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2</v>
      </c>
      <c r="D1" t="s">
        <v>1</v>
      </c>
    </row>
    <row r="2" spans="1:4" x14ac:dyDescent="0.2">
      <c r="A2">
        <v>1960</v>
      </c>
      <c r="B2" s="1">
        <v>76.058898531649703</v>
      </c>
      <c r="C2" s="1">
        <v>6.6058660409094596</v>
      </c>
      <c r="D2" s="1">
        <v>69.453032490740298</v>
      </c>
    </row>
    <row r="3" spans="1:4" x14ac:dyDescent="0.2">
      <c r="A3">
        <v>1961</v>
      </c>
      <c r="B3" s="1">
        <v>76.482962637394394</v>
      </c>
      <c r="C3" s="1">
        <v>6.7326523928309303</v>
      </c>
      <c r="D3" s="1">
        <v>69.750310244563494</v>
      </c>
    </row>
    <row r="4" spans="1:4" x14ac:dyDescent="0.2">
      <c r="A4">
        <v>1962</v>
      </c>
      <c r="B4" s="1">
        <v>76.963242252256194</v>
      </c>
      <c r="C4" s="1">
        <v>6.8453912476741596</v>
      </c>
      <c r="D4" s="1">
        <v>70.117851004582107</v>
      </c>
    </row>
    <row r="5" spans="1:4" x14ac:dyDescent="0.2">
      <c r="A5">
        <v>1963</v>
      </c>
      <c r="B5" s="1">
        <v>77.358074318499007</v>
      </c>
      <c r="C5" s="1">
        <v>6.9419126211542004</v>
      </c>
      <c r="D5" s="1">
        <v>70.416161697344805</v>
      </c>
    </row>
    <row r="6" spans="1:4" x14ac:dyDescent="0.2">
      <c r="A6">
        <v>1964</v>
      </c>
      <c r="B6" s="1">
        <v>77.458337239143802</v>
      </c>
      <c r="C6" s="1">
        <v>7.0185905850991297</v>
      </c>
      <c r="D6" s="1">
        <v>70.439746654044697</v>
      </c>
    </row>
    <row r="7" spans="1:4" x14ac:dyDescent="0.2">
      <c r="A7">
        <v>1965</v>
      </c>
      <c r="B7" s="1">
        <v>77.175171841827506</v>
      </c>
      <c r="C7" s="1">
        <v>7.0739154393939803</v>
      </c>
      <c r="D7" s="1">
        <v>70.101256402433506</v>
      </c>
    </row>
    <row r="8" spans="1:4" x14ac:dyDescent="0.2">
      <c r="A8">
        <v>1966</v>
      </c>
      <c r="B8" s="1">
        <v>77.038843195487203</v>
      </c>
      <c r="C8" s="1">
        <v>7.1529870796055501</v>
      </c>
      <c r="D8" s="1">
        <v>69.885856115881595</v>
      </c>
    </row>
    <row r="9" spans="1:4" x14ac:dyDescent="0.2">
      <c r="A9">
        <v>1967</v>
      </c>
      <c r="B9" s="1">
        <v>76.489905565935402</v>
      </c>
      <c r="C9" s="1">
        <v>7.2083443733210197</v>
      </c>
      <c r="D9" s="1">
        <v>69.281561192614305</v>
      </c>
    </row>
    <row r="10" spans="1:4" x14ac:dyDescent="0.2">
      <c r="A10">
        <v>1968</v>
      </c>
      <c r="B10" s="1">
        <v>75.650933456013306</v>
      </c>
      <c r="C10" s="1">
        <v>7.2470282262851704</v>
      </c>
      <c r="D10" s="1">
        <v>68.403905229728096</v>
      </c>
    </row>
    <row r="11" spans="1:4" x14ac:dyDescent="0.2">
      <c r="A11">
        <v>1969</v>
      </c>
      <c r="B11" s="1">
        <v>74.703797931536101</v>
      </c>
      <c r="C11" s="1">
        <v>7.2780664811809599</v>
      </c>
      <c r="D11" s="1">
        <v>67.425731450355102</v>
      </c>
    </row>
    <row r="12" spans="1:4" x14ac:dyDescent="0.2">
      <c r="A12">
        <v>1970</v>
      </c>
      <c r="B12" s="1">
        <v>73.738913929113096</v>
      </c>
      <c r="C12" s="1">
        <v>7.3067729366677696</v>
      </c>
      <c r="D12" s="1">
        <v>66.432140992445298</v>
      </c>
    </row>
    <row r="13" spans="1:4" x14ac:dyDescent="0.2">
      <c r="A13">
        <v>1971</v>
      </c>
      <c r="B13" s="1">
        <v>72.693007253903303</v>
      </c>
      <c r="C13" s="1">
        <v>7.3755369562785802</v>
      </c>
      <c r="D13" s="1">
        <v>65.317470297624695</v>
      </c>
    </row>
    <row r="14" spans="1:4" x14ac:dyDescent="0.2">
      <c r="A14">
        <v>1972</v>
      </c>
      <c r="B14" s="1">
        <v>71.637939660120793</v>
      </c>
      <c r="C14" s="1">
        <v>7.4370508989792299</v>
      </c>
      <c r="D14" s="1">
        <v>64.200888761141599</v>
      </c>
    </row>
    <row r="15" spans="1:4" x14ac:dyDescent="0.2">
      <c r="A15">
        <v>1973</v>
      </c>
      <c r="B15" s="1">
        <v>70.556197685706493</v>
      </c>
      <c r="C15" s="1">
        <v>7.4920223843413902</v>
      </c>
      <c r="D15" s="1">
        <v>63.064175301365097</v>
      </c>
    </row>
    <row r="16" spans="1:4" x14ac:dyDescent="0.2">
      <c r="A16">
        <v>1974</v>
      </c>
      <c r="B16" s="1">
        <v>69.408287858854194</v>
      </c>
      <c r="C16" s="1">
        <v>7.5402488329710602</v>
      </c>
      <c r="D16" s="1">
        <v>61.8680390258831</v>
      </c>
    </row>
    <row r="17" spans="1:4" x14ac:dyDescent="0.2">
      <c r="A17">
        <v>1975</v>
      </c>
      <c r="B17" s="1">
        <v>68.190718119367801</v>
      </c>
      <c r="C17" s="1">
        <v>7.5825562494313496</v>
      </c>
      <c r="D17" s="1">
        <v>60.608161869936403</v>
      </c>
    </row>
    <row r="18" spans="1:4" x14ac:dyDescent="0.2">
      <c r="A18">
        <v>1976</v>
      </c>
      <c r="B18" s="1">
        <v>67.004462456631799</v>
      </c>
      <c r="C18" s="1">
        <v>7.67398775762602</v>
      </c>
      <c r="D18" s="1">
        <v>59.330474699005798</v>
      </c>
    </row>
    <row r="19" spans="1:4" x14ac:dyDescent="0.2">
      <c r="A19">
        <v>1977</v>
      </c>
      <c r="B19" s="1">
        <v>65.817880794199297</v>
      </c>
      <c r="C19" s="1">
        <v>7.7592754325691304</v>
      </c>
      <c r="D19" s="1">
        <v>58.0586053616302</v>
      </c>
    </row>
    <row r="20" spans="1:4" x14ac:dyDescent="0.2">
      <c r="A20">
        <v>1978</v>
      </c>
      <c r="B20" s="1">
        <v>64.635807525209799</v>
      </c>
      <c r="C20" s="1">
        <v>7.83722483595679</v>
      </c>
      <c r="D20" s="1">
        <v>56.798582689253003</v>
      </c>
    </row>
    <row r="21" spans="1:4" x14ac:dyDescent="0.2">
      <c r="A21">
        <v>1979</v>
      </c>
      <c r="B21" s="1">
        <v>63.465325582770099</v>
      </c>
      <c r="C21" s="1">
        <v>7.9050691071558497</v>
      </c>
      <c r="D21" s="1">
        <v>55.560256475614203</v>
      </c>
    </row>
    <row r="22" spans="1:4" x14ac:dyDescent="0.2">
      <c r="A22">
        <v>1980</v>
      </c>
      <c r="B22" s="1">
        <v>62.318616034211097</v>
      </c>
      <c r="C22" s="1">
        <v>7.9633468819761397</v>
      </c>
      <c r="D22" s="1">
        <v>54.355269152235003</v>
      </c>
    </row>
    <row r="23" spans="1:4" x14ac:dyDescent="0.2">
      <c r="A23">
        <v>1981</v>
      </c>
      <c r="B23" s="1">
        <v>61.350662362689498</v>
      </c>
      <c r="C23" s="1">
        <v>8.0566529031715195</v>
      </c>
      <c r="D23" s="1">
        <v>53.294009459518001</v>
      </c>
    </row>
    <row r="24" spans="1:4" x14ac:dyDescent="0.2">
      <c r="A24">
        <v>1982</v>
      </c>
      <c r="B24" s="1">
        <v>60.370912500356802</v>
      </c>
      <c r="C24" s="1">
        <v>8.1423144471359805</v>
      </c>
      <c r="D24" s="1">
        <v>52.2285980532208</v>
      </c>
    </row>
    <row r="25" spans="1:4" x14ac:dyDescent="0.2">
      <c r="A25">
        <v>1983</v>
      </c>
      <c r="B25" s="1">
        <v>59.439167796165599</v>
      </c>
      <c r="C25" s="1">
        <v>8.2274161692653696</v>
      </c>
      <c r="D25" s="1">
        <v>51.211751626900202</v>
      </c>
    </row>
    <row r="26" spans="1:4" x14ac:dyDescent="0.2">
      <c r="A26">
        <v>1984</v>
      </c>
      <c r="B26" s="1">
        <v>58.6355370831645</v>
      </c>
      <c r="C26" s="1">
        <v>8.3200755473803003</v>
      </c>
      <c r="D26" s="1">
        <v>50.315461535784202</v>
      </c>
    </row>
    <row r="27" spans="1:4" x14ac:dyDescent="0.2">
      <c r="A27">
        <v>1985</v>
      </c>
      <c r="B27" s="1">
        <v>58.001620590522997</v>
      </c>
      <c r="C27" s="1">
        <v>8.4260910433627796</v>
      </c>
      <c r="D27" s="1">
        <v>49.575529547160201</v>
      </c>
    </row>
    <row r="28" spans="1:4" x14ac:dyDescent="0.2">
      <c r="A28">
        <v>1986</v>
      </c>
      <c r="B28" s="1">
        <v>57.399374845709602</v>
      </c>
      <c r="C28" s="1">
        <v>8.5614596781047307</v>
      </c>
      <c r="D28" s="1">
        <v>48.837915167604898</v>
      </c>
    </row>
    <row r="29" spans="1:4" x14ac:dyDescent="0.2">
      <c r="A29">
        <v>1987</v>
      </c>
      <c r="B29" s="1">
        <v>56.986626932389598</v>
      </c>
      <c r="C29" s="1">
        <v>8.6999441236729407</v>
      </c>
      <c r="D29" s="1">
        <v>48.286682808716698</v>
      </c>
    </row>
    <row r="30" spans="1:4" x14ac:dyDescent="0.2">
      <c r="A30">
        <v>1988</v>
      </c>
      <c r="B30" s="1">
        <v>56.717332583883703</v>
      </c>
      <c r="C30" s="1">
        <v>8.8546301934516798</v>
      </c>
      <c r="D30" s="1">
        <v>47.862702390431998</v>
      </c>
    </row>
    <row r="31" spans="1:4" x14ac:dyDescent="0.2">
      <c r="A31">
        <v>1989</v>
      </c>
      <c r="B31" s="1">
        <v>56.523022159702997</v>
      </c>
      <c r="C31" s="1">
        <v>9.0427730846370302</v>
      </c>
      <c r="D31" s="1">
        <v>47.480249075065899</v>
      </c>
    </row>
    <row r="32" spans="1:4" x14ac:dyDescent="0.2">
      <c r="A32">
        <v>1990</v>
      </c>
      <c r="B32" s="1">
        <v>56.370168493570603</v>
      </c>
      <c r="C32" s="1">
        <v>9.2724000986662407</v>
      </c>
      <c r="D32" s="1">
        <v>47.0977683949043</v>
      </c>
    </row>
    <row r="33" spans="1:4" x14ac:dyDescent="0.2">
      <c r="A33">
        <v>1991</v>
      </c>
      <c r="B33" s="1">
        <v>56.383120861415399</v>
      </c>
      <c r="C33" s="1">
        <v>9.5356326026746707</v>
      </c>
      <c r="D33" s="1">
        <v>46.847488258740697</v>
      </c>
    </row>
    <row r="34" spans="1:4" x14ac:dyDescent="0.2">
      <c r="A34">
        <v>1992</v>
      </c>
      <c r="B34" s="1">
        <v>56.358311905008598</v>
      </c>
      <c r="C34" s="1">
        <v>9.82823036625825</v>
      </c>
      <c r="D34" s="1">
        <v>46.530081538750302</v>
      </c>
    </row>
    <row r="35" spans="1:4" x14ac:dyDescent="0.2">
      <c r="A35">
        <v>1993</v>
      </c>
      <c r="B35" s="1">
        <v>56.297665689759597</v>
      </c>
      <c r="C35" s="1">
        <v>10.132575120746001</v>
      </c>
      <c r="D35" s="1">
        <v>46.1650905690136</v>
      </c>
    </row>
    <row r="36" spans="1:4" x14ac:dyDescent="0.2">
      <c r="A36">
        <v>1994</v>
      </c>
      <c r="B36" s="1">
        <v>56.191606675787703</v>
      </c>
      <c r="C36" s="1">
        <v>10.4231039738139</v>
      </c>
      <c r="D36" s="1">
        <v>45.768502701973802</v>
      </c>
    </row>
    <row r="37" spans="1:4" x14ac:dyDescent="0.2">
      <c r="A37">
        <v>1995</v>
      </c>
      <c r="B37" s="1">
        <v>56.013210205298002</v>
      </c>
      <c r="C37" s="1">
        <v>10.686284528867301</v>
      </c>
      <c r="D37" s="1">
        <v>45.326925676430697</v>
      </c>
    </row>
    <row r="38" spans="1:4" x14ac:dyDescent="0.2">
      <c r="A38">
        <v>1996</v>
      </c>
      <c r="B38" s="1">
        <v>55.805158199084197</v>
      </c>
      <c r="C38" s="1">
        <v>10.944783323382399</v>
      </c>
      <c r="D38" s="1">
        <v>44.860374875701901</v>
      </c>
    </row>
    <row r="39" spans="1:4" x14ac:dyDescent="0.2">
      <c r="A39">
        <v>1997</v>
      </c>
      <c r="B39" s="1">
        <v>55.4583479824581</v>
      </c>
      <c r="C39" s="1">
        <v>11.1766688647363</v>
      </c>
      <c r="D39" s="1">
        <v>44.281679117721801</v>
      </c>
    </row>
    <row r="40" spans="1:4" x14ac:dyDescent="0.2">
      <c r="A40">
        <v>1998</v>
      </c>
      <c r="B40" s="1">
        <v>54.995308044375498</v>
      </c>
      <c r="C40" s="1">
        <v>11.3873680219319</v>
      </c>
      <c r="D40" s="1">
        <v>43.6079400224436</v>
      </c>
    </row>
    <row r="41" spans="1:4" x14ac:dyDescent="0.2">
      <c r="A41">
        <v>1999</v>
      </c>
      <c r="B41" s="1">
        <v>54.439692713636703</v>
      </c>
      <c r="C41" s="1">
        <v>11.582772480956599</v>
      </c>
      <c r="D41" s="1">
        <v>42.856920232680103</v>
      </c>
    </row>
    <row r="42" spans="1:4" x14ac:dyDescent="0.2">
      <c r="A42">
        <v>2000</v>
      </c>
      <c r="B42" s="1">
        <v>53.804458262670799</v>
      </c>
      <c r="C42" s="1">
        <v>11.7673264909855</v>
      </c>
      <c r="D42" s="1">
        <v>42.037131771685303</v>
      </c>
    </row>
    <row r="43" spans="1:4" x14ac:dyDescent="0.2">
      <c r="A43">
        <v>2001</v>
      </c>
      <c r="B43" s="1">
        <v>52.952380558074999</v>
      </c>
      <c r="C43" s="1">
        <v>11.9458830861183</v>
      </c>
      <c r="D43" s="1">
        <v>41.006497471956699</v>
      </c>
    </row>
    <row r="44" spans="1:4" x14ac:dyDescent="0.2">
      <c r="A44">
        <v>2002</v>
      </c>
      <c r="B44" s="1">
        <v>52.1141407920706</v>
      </c>
      <c r="C44" s="1">
        <v>12.1103875006668</v>
      </c>
      <c r="D44" s="1">
        <v>40.003753291403797</v>
      </c>
    </row>
    <row r="45" spans="1:4" x14ac:dyDescent="0.2">
      <c r="A45">
        <v>2003</v>
      </c>
      <c r="B45" s="1">
        <v>51.261674367344803</v>
      </c>
      <c r="C45" s="1">
        <v>12.269597600679001</v>
      </c>
      <c r="D45" s="1">
        <v>38.992076766665697</v>
      </c>
    </row>
    <row r="46" spans="1:4" x14ac:dyDescent="0.2">
      <c r="A46">
        <v>2004</v>
      </c>
      <c r="B46" s="1">
        <v>50.375210985757001</v>
      </c>
      <c r="C46" s="1">
        <v>12.4326197689241</v>
      </c>
      <c r="D46" s="1">
        <v>37.942591216832902</v>
      </c>
    </row>
    <row r="47" spans="1:4" x14ac:dyDescent="0.2">
      <c r="A47">
        <v>2005</v>
      </c>
      <c r="B47" s="1">
        <v>49.474042106373503</v>
      </c>
      <c r="C47" s="1">
        <v>12.606622104760801</v>
      </c>
      <c r="D47" s="1">
        <v>36.8674200016127</v>
      </c>
    </row>
    <row r="48" spans="1:4" x14ac:dyDescent="0.2">
      <c r="A48">
        <v>2006</v>
      </c>
      <c r="B48" s="1">
        <v>48.632503395793897</v>
      </c>
      <c r="C48" s="1">
        <v>12.782807876678699</v>
      </c>
      <c r="D48" s="1">
        <v>35.849695519115201</v>
      </c>
    </row>
    <row r="49" spans="1:4" x14ac:dyDescent="0.2">
      <c r="A49">
        <v>2007</v>
      </c>
      <c r="B49" s="1">
        <v>47.810565850058197</v>
      </c>
      <c r="C49" s="1">
        <v>12.968560726199801</v>
      </c>
      <c r="D49" s="1">
        <v>34.842005123858499</v>
      </c>
    </row>
    <row r="50" spans="1:4" x14ac:dyDescent="0.2">
      <c r="A50">
        <v>2008</v>
      </c>
      <c r="B50" s="1">
        <v>47.0450063677754</v>
      </c>
      <c r="C50" s="1">
        <v>13.171099320662099</v>
      </c>
      <c r="D50" s="1">
        <v>33.873907047113299</v>
      </c>
    </row>
    <row r="51" spans="1:4" x14ac:dyDescent="0.2">
      <c r="A51">
        <v>2009</v>
      </c>
      <c r="B51" s="1">
        <v>46.386666007821198</v>
      </c>
      <c r="C51" s="1">
        <v>13.3979261971699</v>
      </c>
      <c r="D51" s="1">
        <v>32.988739810651303</v>
      </c>
    </row>
    <row r="52" spans="1:4" x14ac:dyDescent="0.2">
      <c r="A52">
        <v>2010</v>
      </c>
      <c r="B52" s="1">
        <v>45.865759640522498</v>
      </c>
      <c r="C52" s="1">
        <v>13.656027255922501</v>
      </c>
      <c r="D52" s="1">
        <v>32.209732384600002</v>
      </c>
    </row>
    <row r="53" spans="1:4" x14ac:dyDescent="0.2">
      <c r="A53">
        <v>2011</v>
      </c>
      <c r="B53" s="1">
        <v>45.551263591812898</v>
      </c>
      <c r="C53" s="1">
        <v>13.9250331243957</v>
      </c>
      <c r="D53" s="1">
        <v>31.626230467417098</v>
      </c>
    </row>
    <row r="54" spans="1:4" x14ac:dyDescent="0.2">
      <c r="A54">
        <v>2012</v>
      </c>
      <c r="B54" s="1">
        <v>45.308745485292</v>
      </c>
      <c r="C54" s="1">
        <v>14.2187185536232</v>
      </c>
      <c r="D54" s="1">
        <v>31.090026931668699</v>
      </c>
    </row>
    <row r="55" spans="1:4" x14ac:dyDescent="0.2">
      <c r="A55">
        <v>2013</v>
      </c>
      <c r="B55" s="1">
        <v>45.172116197766101</v>
      </c>
      <c r="C55" s="1">
        <v>14.5510510813195</v>
      </c>
      <c r="D55" s="1">
        <v>30.621065116446601</v>
      </c>
    </row>
    <row r="56" spans="1:4" x14ac:dyDescent="0.2">
      <c r="A56">
        <v>2014</v>
      </c>
      <c r="B56" s="1">
        <v>45.160179989455699</v>
      </c>
      <c r="C56" s="1">
        <v>14.939271950008401</v>
      </c>
      <c r="D56" s="1">
        <v>30.220908039447298</v>
      </c>
    </row>
    <row r="57" spans="1:4" x14ac:dyDescent="0.2">
      <c r="A57">
        <v>2015</v>
      </c>
      <c r="B57" s="1">
        <v>45.271634951392898</v>
      </c>
      <c r="C57" s="1">
        <v>15.3935567416822</v>
      </c>
      <c r="D57" s="1">
        <v>29.878078209710701</v>
      </c>
    </row>
    <row r="58" spans="1:4" x14ac:dyDescent="0.2">
      <c r="A58">
        <v>2016</v>
      </c>
      <c r="B58" s="1">
        <v>45.3018470553491</v>
      </c>
      <c r="C58" s="1">
        <v>15.806470738299501</v>
      </c>
      <c r="D58" s="1">
        <v>29.495376317049601</v>
      </c>
    </row>
    <row r="59" spans="1:4" x14ac:dyDescent="0.2">
      <c r="A59">
        <v>2017</v>
      </c>
      <c r="B59" s="1">
        <v>45.382841781147398</v>
      </c>
      <c r="C59" s="1">
        <v>16.271097430420799</v>
      </c>
      <c r="D59" s="1">
        <v>29.1117443507266</v>
      </c>
    </row>
    <row r="60" spans="1:4" x14ac:dyDescent="0.2">
      <c r="A60">
        <v>2018</v>
      </c>
      <c r="B60" s="1">
        <v>45.525889726867703</v>
      </c>
      <c r="C60" s="1">
        <v>16.778848839730902</v>
      </c>
      <c r="D60" s="1">
        <v>28.747040887136698</v>
      </c>
    </row>
    <row r="61" spans="1:4" x14ac:dyDescent="0.2">
      <c r="A61">
        <v>2019</v>
      </c>
      <c r="B61" s="1">
        <v>45.721215653468299</v>
      </c>
      <c r="C61" s="1">
        <v>17.313927453235799</v>
      </c>
      <c r="D61" s="1">
        <v>28.4072882002325</v>
      </c>
    </row>
    <row r="62" spans="1:4" x14ac:dyDescent="0.2">
      <c r="A62">
        <v>2020</v>
      </c>
      <c r="B62" s="1">
        <v>45.945747651139698</v>
      </c>
      <c r="C62" s="1">
        <v>17.86763806003</v>
      </c>
      <c r="D62" s="1">
        <v>28.078109591109801</v>
      </c>
    </row>
    <row r="63" spans="1:4" x14ac:dyDescent="0.2">
      <c r="A63">
        <v>2021</v>
      </c>
      <c r="B63" s="1">
        <v>46.443320673120503</v>
      </c>
      <c r="C63" s="1">
        <v>18.598683041097601</v>
      </c>
      <c r="D63" s="1">
        <v>27.844637632022899</v>
      </c>
    </row>
    <row r="64" spans="1:4" x14ac:dyDescent="0.2">
      <c r="A64">
        <v>2022</v>
      </c>
      <c r="B64" s="1">
        <v>47.045507113265003</v>
      </c>
      <c r="C64" s="1">
        <v>19.347130571135899</v>
      </c>
      <c r="D64" s="1">
        <v>27.6983765421292</v>
      </c>
    </row>
    <row r="65" spans="1:4" x14ac:dyDescent="0.2">
      <c r="A65">
        <v>2023</v>
      </c>
      <c r="B65" s="1">
        <v>47.695662341991003</v>
      </c>
      <c r="C65" s="1">
        <v>20.119754938113001</v>
      </c>
      <c r="D65" s="1">
        <v>27.575907403877899</v>
      </c>
    </row>
    <row r="66" spans="1:4" x14ac:dyDescent="0.2">
      <c r="A66">
        <v>2024</v>
      </c>
      <c r="B66" s="1">
        <v>48.333280005612899</v>
      </c>
      <c r="C66" s="1">
        <v>20.928681048703101</v>
      </c>
      <c r="D66" s="1">
        <v>27.404598956909801</v>
      </c>
    </row>
    <row r="67" spans="1:4" x14ac:dyDescent="0.2">
      <c r="A67">
        <v>2025</v>
      </c>
      <c r="B67" s="1">
        <v>48.944403335470099</v>
      </c>
      <c r="C67" s="1">
        <v>21.783975354535599</v>
      </c>
      <c r="D67" s="1">
        <v>27.1604279809346</v>
      </c>
    </row>
    <row r="68" spans="1:4" x14ac:dyDescent="0.2">
      <c r="A68">
        <v>2026</v>
      </c>
      <c r="B68" s="1">
        <v>49.5201151975049</v>
      </c>
      <c r="C68" s="1">
        <v>22.582342515395499</v>
      </c>
      <c r="D68" s="1">
        <v>26.937772682109401</v>
      </c>
    </row>
    <row r="69" spans="1:4" x14ac:dyDescent="0.2">
      <c r="A69">
        <v>2027</v>
      </c>
      <c r="B69" s="1">
        <v>50.007798669607602</v>
      </c>
      <c r="C69" s="1">
        <v>23.402439031975899</v>
      </c>
      <c r="D69" s="1">
        <v>26.6053596376317</v>
      </c>
    </row>
    <row r="70" spans="1:4" x14ac:dyDescent="0.2">
      <c r="A70">
        <v>2028</v>
      </c>
      <c r="B70" s="1">
        <v>50.465827285091002</v>
      </c>
      <c r="C70" s="1">
        <v>24.246890445212699</v>
      </c>
      <c r="D70" s="1">
        <v>26.2189368398783</v>
      </c>
    </row>
    <row r="71" spans="1:4" x14ac:dyDescent="0.2">
      <c r="A71">
        <v>2029</v>
      </c>
      <c r="B71" s="1">
        <v>50.984255431984202</v>
      </c>
      <c r="C71" s="1">
        <v>25.115434578197299</v>
      </c>
      <c r="D71" s="1">
        <v>25.8688208537869</v>
      </c>
    </row>
    <row r="72" spans="1:4" x14ac:dyDescent="0.2">
      <c r="A72">
        <v>2030</v>
      </c>
      <c r="B72" s="1">
        <v>51.608232835662697</v>
      </c>
      <c r="C72" s="1">
        <v>26.0080985097932</v>
      </c>
      <c r="D72" s="1">
        <v>25.6001343258696</v>
      </c>
    </row>
    <row r="73" spans="1:4" x14ac:dyDescent="0.2">
      <c r="A73">
        <v>2031</v>
      </c>
      <c r="B73" s="1">
        <v>52.0640513043206</v>
      </c>
      <c r="C73" s="1">
        <v>26.769086182271501</v>
      </c>
      <c r="D73" s="1">
        <v>25.294965122049099</v>
      </c>
    </row>
    <row r="74" spans="1:4" x14ac:dyDescent="0.2">
      <c r="A74">
        <v>2032</v>
      </c>
      <c r="B74" s="1">
        <v>52.594379485494599</v>
      </c>
      <c r="C74" s="1">
        <v>27.536138884824801</v>
      </c>
      <c r="D74" s="1">
        <v>25.058240600669802</v>
      </c>
    </row>
    <row r="75" spans="1:4" x14ac:dyDescent="0.2">
      <c r="A75">
        <v>2033</v>
      </c>
      <c r="B75" s="1">
        <v>53.180778017808898</v>
      </c>
      <c r="C75" s="1">
        <v>28.309651809160499</v>
      </c>
      <c r="D75" s="1">
        <v>24.871126208648398</v>
      </c>
    </row>
    <row r="76" spans="1:4" x14ac:dyDescent="0.2">
      <c r="A76">
        <v>2034</v>
      </c>
      <c r="B76" s="1">
        <v>53.773211653558398</v>
      </c>
      <c r="C76" s="1">
        <v>29.087566347026598</v>
      </c>
      <c r="D76" s="1">
        <v>24.6856453065318</v>
      </c>
    </row>
    <row r="77" spans="1:4" x14ac:dyDescent="0.2">
      <c r="A77">
        <v>2035</v>
      </c>
      <c r="B77" s="1">
        <v>54.349409324712703</v>
      </c>
      <c r="C77" s="1">
        <v>29.871378507357701</v>
      </c>
      <c r="D77" s="1">
        <v>24.478030817354998</v>
      </c>
    </row>
    <row r="78" spans="1:4" x14ac:dyDescent="0.2">
      <c r="A78">
        <v>2036</v>
      </c>
      <c r="B78" s="1">
        <v>54.901983772935097</v>
      </c>
      <c r="C78" s="1">
        <v>30.579671469368801</v>
      </c>
      <c r="D78" s="1">
        <v>24.322312303566299</v>
      </c>
    </row>
    <row r="79" spans="1:4" x14ac:dyDescent="0.2">
      <c r="A79">
        <v>2037</v>
      </c>
      <c r="B79" s="1">
        <v>55.424479688072999</v>
      </c>
      <c r="C79" s="1">
        <v>31.2784865042529</v>
      </c>
      <c r="D79" s="1">
        <v>24.145993183820199</v>
      </c>
    </row>
    <row r="80" spans="1:4" x14ac:dyDescent="0.2">
      <c r="A80">
        <v>2038</v>
      </c>
      <c r="B80" s="1">
        <v>55.942159096446296</v>
      </c>
      <c r="C80" s="1">
        <v>31.980315061904399</v>
      </c>
      <c r="D80" s="1">
        <v>23.961844034541901</v>
      </c>
    </row>
    <row r="81" spans="1:4" x14ac:dyDescent="0.2">
      <c r="A81">
        <v>2039</v>
      </c>
      <c r="B81" s="1">
        <v>56.497619565592899</v>
      </c>
      <c r="C81" s="1">
        <v>32.7024334055696</v>
      </c>
      <c r="D81" s="1">
        <v>23.795186160023299</v>
      </c>
    </row>
    <row r="82" spans="1:4" x14ac:dyDescent="0.2">
      <c r="A82">
        <v>2040</v>
      </c>
      <c r="B82" s="1">
        <v>57.118706360821299</v>
      </c>
      <c r="C82" s="1">
        <v>33.459194749365203</v>
      </c>
      <c r="D82" s="1">
        <v>23.6595116114561</v>
      </c>
    </row>
    <row r="83" spans="1:4" x14ac:dyDescent="0.2">
      <c r="A83">
        <v>2041</v>
      </c>
      <c r="B83" s="1">
        <v>57.712965202396497</v>
      </c>
      <c r="C83" s="1">
        <v>34.1490907724964</v>
      </c>
      <c r="D83" s="1">
        <v>23.5638744299</v>
      </c>
    </row>
    <row r="84" spans="1:4" x14ac:dyDescent="0.2">
      <c r="A84">
        <v>2042</v>
      </c>
      <c r="B84" s="1">
        <v>58.358900352272897</v>
      </c>
      <c r="C84" s="1">
        <v>34.858847352410301</v>
      </c>
      <c r="D84" s="1">
        <v>23.500052999862699</v>
      </c>
    </row>
    <row r="85" spans="1:4" x14ac:dyDescent="0.2">
      <c r="A85" s="3">
        <v>2043</v>
      </c>
      <c r="B85" s="4">
        <v>59.051531930955299</v>
      </c>
      <c r="C85" s="4">
        <v>35.592369119206701</v>
      </c>
      <c r="D85" s="4">
        <v>23.459162811748602</v>
      </c>
    </row>
    <row r="86" spans="1:4" x14ac:dyDescent="0.2">
      <c r="A86" s="3">
        <v>2044</v>
      </c>
      <c r="B86" s="4">
        <v>59.7747694050272</v>
      </c>
      <c r="C86" s="4">
        <v>36.3496970822465</v>
      </c>
      <c r="D86" s="4">
        <v>23.4250723227807</v>
      </c>
    </row>
    <row r="87" spans="1:4" x14ac:dyDescent="0.2">
      <c r="A87" s="3">
        <v>2045</v>
      </c>
      <c r="B87" s="4">
        <v>60.526048341103497</v>
      </c>
      <c r="C87" s="4">
        <v>37.135788549332702</v>
      </c>
      <c r="D87" s="4">
        <v>23.390259791770799</v>
      </c>
    </row>
    <row r="88" spans="1:4" x14ac:dyDescent="0.2">
      <c r="A88" s="3">
        <v>2046</v>
      </c>
      <c r="B88" s="4">
        <v>61.222114855436303</v>
      </c>
      <c r="C88" s="4">
        <v>37.830516364209103</v>
      </c>
      <c r="D88" s="4">
        <v>23.391598491227199</v>
      </c>
    </row>
    <row r="89" spans="1:4" x14ac:dyDescent="0.2">
      <c r="A89" s="3">
        <v>2047</v>
      </c>
      <c r="B89" s="4">
        <v>61.917435450525097</v>
      </c>
      <c r="C89" s="4">
        <v>38.5284469684171</v>
      </c>
      <c r="D89" s="4">
        <v>23.388988482108001</v>
      </c>
    </row>
    <row r="90" spans="1:4" x14ac:dyDescent="0.2">
      <c r="A90">
        <v>2048</v>
      </c>
      <c r="B90" s="1">
        <v>62.639732318952497</v>
      </c>
      <c r="C90" s="1">
        <v>39.252388428817497</v>
      </c>
      <c r="D90" s="1">
        <v>23.387343890135</v>
      </c>
    </row>
    <row r="91" spans="1:4" x14ac:dyDescent="0.2">
      <c r="A91">
        <v>2049</v>
      </c>
      <c r="B91" s="1">
        <v>63.434773108909901</v>
      </c>
      <c r="C91" s="1">
        <v>40.039153802437497</v>
      </c>
      <c r="D91" s="1">
        <v>23.395619306472401</v>
      </c>
    </row>
    <row r="92" spans="1:4" x14ac:dyDescent="0.2">
      <c r="A92">
        <v>2050</v>
      </c>
      <c r="B92" s="1">
        <v>64.339519300122603</v>
      </c>
      <c r="C92" s="1">
        <v>40.921523408428001</v>
      </c>
      <c r="D92" s="1">
        <v>23.417995891694598</v>
      </c>
    </row>
    <row r="93" spans="1:4" x14ac:dyDescent="0.2">
      <c r="A93">
        <v>2080</v>
      </c>
      <c r="B93" s="1">
        <f t="shared" ref="B93:B94" si="0">C93+D93</f>
        <v>73.417995891694602</v>
      </c>
      <c r="C93" s="1">
        <v>50</v>
      </c>
      <c r="D93" s="1">
        <f>D92</f>
        <v>23.417995891694598</v>
      </c>
    </row>
    <row r="94" spans="1:4" x14ac:dyDescent="0.2">
      <c r="A94">
        <v>2095</v>
      </c>
      <c r="B94" s="1">
        <f t="shared" si="0"/>
        <v>73.417995891694602</v>
      </c>
      <c r="C94" s="1">
        <v>50</v>
      </c>
      <c r="D94" s="1">
        <f>D93</f>
        <v>23.417995891694598</v>
      </c>
    </row>
    <row r="96" spans="1:4" x14ac:dyDescent="0.2">
      <c r="B96" s="1"/>
      <c r="C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9B42-2D8C-8648-8D9C-EE7C84AA2E4E}">
  <dimension ref="A2:B9"/>
  <sheetViews>
    <sheetView workbookViewId="0">
      <selection activeCell="B25" sqref="B25"/>
    </sheetView>
  </sheetViews>
  <sheetFormatPr baseColWidth="10" defaultRowHeight="16" x14ac:dyDescent="0.2"/>
  <sheetData>
    <row r="2" spans="1:2" x14ac:dyDescent="0.2">
      <c r="A2" t="s">
        <v>5</v>
      </c>
    </row>
    <row r="3" spans="1:2" x14ac:dyDescent="0.2">
      <c r="A3" s="2" t="s">
        <v>4</v>
      </c>
    </row>
    <row r="4" spans="1:2" x14ac:dyDescent="0.2">
      <c r="A4" t="s">
        <v>6</v>
      </c>
    </row>
    <row r="6" spans="1:2" x14ac:dyDescent="0.2">
      <c r="A6" t="s">
        <v>7</v>
      </c>
    </row>
    <row r="7" spans="1:2" x14ac:dyDescent="0.2">
      <c r="A7" t="s">
        <v>3</v>
      </c>
      <c r="B7" t="s">
        <v>9</v>
      </c>
    </row>
    <row r="8" spans="1:2" x14ac:dyDescent="0.2">
      <c r="A8" t="s">
        <v>2</v>
      </c>
      <c r="B8" t="s">
        <v>8</v>
      </c>
    </row>
    <row r="9" spans="1:2" x14ac:dyDescent="0.2">
      <c r="A9" t="s">
        <v>1</v>
      </c>
      <c r="B9" t="s">
        <v>10</v>
      </c>
    </row>
  </sheetData>
  <hyperlinks>
    <hyperlink ref="A3" r:id="rId1" xr:uid="{B4E9B208-0E3A-D146-8FB5-615416F124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2022-09-12T20:28:26Z</dcterms:created>
  <dcterms:modified xsi:type="dcterms:W3CDTF">2022-12-27T17:03:05Z</dcterms:modified>
</cp:coreProperties>
</file>