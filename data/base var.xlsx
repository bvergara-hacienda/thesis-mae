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vergara/Desktop/CFA/modelo de sostenibilidad fiscal TOT/data/"/>
    </mc:Choice>
  </mc:AlternateContent>
  <xr:revisionPtr revIDLastSave="0" documentId="13_ncr:1_{34D304EF-85D6-3641-9F34-9337A67E94EE}" xr6:coauthVersionLast="47" xr6:coauthVersionMax="47" xr10:uidLastSave="{00000000-0000-0000-0000-000000000000}"/>
  <bookViews>
    <workbookView xWindow="0" yWindow="460" windowWidth="25600" windowHeight="14400" xr2:uid="{B14E6991-733A-4F14-B884-517A484EADFC}"/>
  </bookViews>
  <sheets>
    <sheet name="matlab" sheetId="2" r:id="rId1"/>
    <sheet name="raw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M11" i="1"/>
  <c r="E4" i="2" s="1"/>
  <c r="M9" i="1"/>
  <c r="E2" i="2" s="1"/>
  <c r="E1" i="2"/>
  <c r="M10" i="1"/>
  <c r="E3" i="2" s="1"/>
  <c r="M12" i="1"/>
  <c r="E5" i="2" s="1"/>
  <c r="M13" i="1"/>
  <c r="E6" i="2" s="1"/>
  <c r="M14" i="1"/>
  <c r="E7" i="2" s="1"/>
  <c r="M15" i="1"/>
  <c r="E8" i="2" s="1"/>
  <c r="M16" i="1"/>
  <c r="E9" i="2" s="1"/>
  <c r="M17" i="1"/>
  <c r="E10" i="2" s="1"/>
  <c r="M18" i="1"/>
  <c r="E11" i="2" s="1"/>
  <c r="M19" i="1"/>
  <c r="E12" i="2" s="1"/>
  <c r="M20" i="1"/>
  <c r="E13" i="2" s="1"/>
  <c r="M21" i="1"/>
  <c r="E14" i="2" s="1"/>
  <c r="M22" i="1"/>
  <c r="E15" i="2" s="1"/>
  <c r="M23" i="1"/>
  <c r="E16" i="2" s="1"/>
  <c r="M24" i="1"/>
  <c r="E17" i="2" s="1"/>
  <c r="M25" i="1"/>
  <c r="E18" i="2" s="1"/>
  <c r="M26" i="1"/>
  <c r="E19" i="2" s="1"/>
  <c r="M27" i="1"/>
  <c r="E20" i="2" s="1"/>
  <c r="M28" i="1"/>
  <c r="E21" i="2" s="1"/>
  <c r="M29" i="1"/>
  <c r="E22" i="2" s="1"/>
  <c r="M30" i="1"/>
  <c r="E23" i="2" s="1"/>
  <c r="M31" i="1"/>
  <c r="E24" i="2" s="1"/>
  <c r="M32" i="1"/>
  <c r="E25" i="2" s="1"/>
  <c r="M33" i="1"/>
  <c r="E26" i="2" s="1"/>
  <c r="M34" i="1"/>
  <c r="E27" i="2" s="1"/>
  <c r="M35" i="1"/>
  <c r="E28" i="2" s="1"/>
  <c r="M36" i="1"/>
  <c r="E29" i="2" s="1"/>
  <c r="M37" i="1"/>
  <c r="E30" i="2" s="1"/>
  <c r="M38" i="1"/>
  <c r="E31" i="2" s="1"/>
  <c r="M39" i="1"/>
  <c r="E32" i="2" s="1"/>
  <c r="M40" i="1"/>
  <c r="E33" i="2" s="1"/>
  <c r="M41" i="1"/>
  <c r="E34" i="2" s="1"/>
  <c r="M42" i="1"/>
  <c r="E35" i="2" s="1"/>
  <c r="M43" i="1"/>
  <c r="E36" i="2" s="1"/>
  <c r="M44" i="1"/>
  <c r="E37" i="2" s="1"/>
  <c r="M45" i="1"/>
  <c r="E38" i="2" s="1"/>
  <c r="M46" i="1"/>
  <c r="E39" i="2" s="1"/>
  <c r="M47" i="1"/>
  <c r="E40" i="2" s="1"/>
  <c r="M48" i="1"/>
  <c r="E41" i="2" s="1"/>
  <c r="M49" i="1"/>
  <c r="E42" i="2" s="1"/>
  <c r="M50" i="1"/>
  <c r="E43" i="2" s="1"/>
  <c r="M51" i="1"/>
  <c r="E44" i="2" s="1"/>
  <c r="M52" i="1"/>
  <c r="E45" i="2" s="1"/>
  <c r="M53" i="1"/>
  <c r="E46" i="2" s="1"/>
  <c r="M54" i="1"/>
  <c r="E47" i="2" s="1"/>
  <c r="M55" i="1"/>
  <c r="E48" i="2" s="1"/>
  <c r="M56" i="1"/>
  <c r="E49" i="2" s="1"/>
  <c r="M57" i="1"/>
  <c r="E50" i="2" s="1"/>
  <c r="M58" i="1"/>
  <c r="E51" i="2" s="1"/>
  <c r="M59" i="1"/>
  <c r="E52" i="2" s="1"/>
  <c r="M60" i="1"/>
  <c r="E53" i="2" s="1"/>
  <c r="M61" i="1"/>
  <c r="E54" i="2" s="1"/>
  <c r="M62" i="1"/>
  <c r="E55" i="2" s="1"/>
  <c r="M63" i="1"/>
  <c r="E56" i="2" s="1"/>
  <c r="M64" i="1"/>
  <c r="E57" i="2" s="1"/>
  <c r="M65" i="1"/>
  <c r="E58" i="2" s="1"/>
  <c r="M66" i="1"/>
  <c r="E59" i="2" s="1"/>
  <c r="M67" i="1"/>
  <c r="E60" i="2" s="1"/>
  <c r="M68" i="1"/>
  <c r="E61" i="2" s="1"/>
  <c r="M69" i="1"/>
  <c r="E62" i="2" s="1"/>
  <c r="M70" i="1"/>
  <c r="E63" i="2" s="1"/>
  <c r="M71" i="1"/>
  <c r="E64" i="2" s="1"/>
  <c r="M72" i="1"/>
  <c r="E65" i="2" s="1"/>
  <c r="M73" i="1"/>
  <c r="E66" i="2" s="1"/>
  <c r="M74" i="1"/>
  <c r="E67" i="2" s="1"/>
  <c r="M75" i="1"/>
  <c r="E68" i="2" s="1"/>
  <c r="M76" i="1"/>
  <c r="E69" i="2" s="1"/>
  <c r="M77" i="1"/>
  <c r="E70" i="2" s="1"/>
  <c r="M78" i="1"/>
  <c r="E71" i="2" s="1"/>
  <c r="M79" i="1"/>
  <c r="E72" i="2" s="1"/>
  <c r="M80" i="1"/>
  <c r="E73" i="2" s="1"/>
  <c r="M81" i="1"/>
  <c r="E74" i="2" s="1"/>
  <c r="M82" i="1"/>
  <c r="E75" i="2" s="1"/>
  <c r="M83" i="1"/>
  <c r="E76" i="2" s="1"/>
  <c r="M84" i="1"/>
  <c r="E77" i="2" s="1"/>
  <c r="M85" i="1"/>
  <c r="E78" i="2" s="1"/>
  <c r="M86" i="1"/>
  <c r="E79" i="2" s="1"/>
  <c r="M87" i="1"/>
  <c r="E80" i="2" s="1"/>
  <c r="M88" i="1"/>
  <c r="E81" i="2" s="1"/>
  <c r="M89" i="1"/>
  <c r="E82" i="2" s="1"/>
  <c r="M90" i="1"/>
  <c r="E83" i="2" s="1"/>
  <c r="M91" i="1"/>
  <c r="E84" i="2" s="1"/>
  <c r="M92" i="1"/>
  <c r="E85" i="2" s="1"/>
  <c r="M93" i="1"/>
  <c r="E86" i="2" s="1"/>
  <c r="M94" i="1"/>
  <c r="E87" i="2" s="1"/>
  <c r="M95" i="1"/>
  <c r="E88" i="2" s="1"/>
  <c r="M96" i="1"/>
  <c r="E89" i="2" s="1"/>
  <c r="M97" i="1"/>
  <c r="E90" i="2" s="1"/>
  <c r="M98" i="1"/>
  <c r="E91" i="2" s="1"/>
  <c r="M99" i="1"/>
  <c r="E92" i="2" s="1"/>
  <c r="M100" i="1"/>
  <c r="E93" i="2" s="1"/>
  <c r="M101" i="1"/>
  <c r="E94" i="2" s="1"/>
  <c r="M102" i="1"/>
  <c r="E95" i="2" s="1"/>
  <c r="M103" i="1"/>
  <c r="E96" i="2" s="1"/>
  <c r="M104" i="1"/>
  <c r="E97" i="2" s="1"/>
  <c r="M105" i="1"/>
  <c r="E98" i="2" s="1"/>
  <c r="L8" i="1"/>
  <c r="D1" i="2" s="1"/>
  <c r="L9" i="1"/>
  <c r="D2" i="2" s="1"/>
  <c r="L10" i="1"/>
  <c r="D3" i="2" s="1"/>
  <c r="L11" i="1"/>
  <c r="D4" i="2" s="1"/>
  <c r="L12" i="1"/>
  <c r="D5" i="2" s="1"/>
  <c r="L13" i="1"/>
  <c r="D6" i="2" s="1"/>
  <c r="L14" i="1"/>
  <c r="D7" i="2" s="1"/>
  <c r="L15" i="1"/>
  <c r="D8" i="2" s="1"/>
  <c r="L16" i="1"/>
  <c r="D9" i="2" s="1"/>
  <c r="L17" i="1"/>
  <c r="D10" i="2" s="1"/>
  <c r="L18" i="1"/>
  <c r="D11" i="2" s="1"/>
  <c r="L19" i="1"/>
  <c r="D12" i="2" s="1"/>
  <c r="L20" i="1"/>
  <c r="D13" i="2" s="1"/>
  <c r="L21" i="1"/>
  <c r="D14" i="2" s="1"/>
  <c r="L22" i="1"/>
  <c r="D15" i="2" s="1"/>
  <c r="L23" i="1"/>
  <c r="D16" i="2" s="1"/>
  <c r="L24" i="1"/>
  <c r="D17" i="2" s="1"/>
  <c r="L25" i="1"/>
  <c r="D18" i="2" s="1"/>
  <c r="L26" i="1"/>
  <c r="D19" i="2" s="1"/>
  <c r="L27" i="1"/>
  <c r="D20" i="2" s="1"/>
  <c r="L28" i="1"/>
  <c r="D21" i="2" s="1"/>
  <c r="L29" i="1"/>
  <c r="D22" i="2" s="1"/>
  <c r="L30" i="1"/>
  <c r="D23" i="2" s="1"/>
  <c r="L31" i="1"/>
  <c r="D24" i="2" s="1"/>
  <c r="L32" i="1"/>
  <c r="D25" i="2" s="1"/>
  <c r="L33" i="1"/>
  <c r="D26" i="2" s="1"/>
  <c r="L34" i="1"/>
  <c r="D27" i="2" s="1"/>
  <c r="L35" i="1"/>
  <c r="D28" i="2" s="1"/>
  <c r="L36" i="1"/>
  <c r="D29" i="2" s="1"/>
  <c r="L37" i="1"/>
  <c r="D30" i="2" s="1"/>
  <c r="L38" i="1"/>
  <c r="D31" i="2" s="1"/>
  <c r="L39" i="1"/>
  <c r="D32" i="2" s="1"/>
  <c r="L40" i="1"/>
  <c r="D33" i="2" s="1"/>
  <c r="L41" i="1"/>
  <c r="D34" i="2" s="1"/>
  <c r="L42" i="1"/>
  <c r="D35" i="2" s="1"/>
  <c r="L43" i="1"/>
  <c r="D36" i="2" s="1"/>
  <c r="L44" i="1"/>
  <c r="D37" i="2" s="1"/>
  <c r="L45" i="1"/>
  <c r="D38" i="2" s="1"/>
  <c r="L46" i="1"/>
  <c r="D39" i="2" s="1"/>
  <c r="L47" i="1"/>
  <c r="D40" i="2" s="1"/>
  <c r="L48" i="1"/>
  <c r="D41" i="2" s="1"/>
  <c r="L49" i="1"/>
  <c r="D42" i="2" s="1"/>
  <c r="L50" i="1"/>
  <c r="D43" i="2" s="1"/>
  <c r="L51" i="1"/>
  <c r="D44" i="2" s="1"/>
  <c r="L52" i="1"/>
  <c r="D45" i="2" s="1"/>
  <c r="L53" i="1"/>
  <c r="D46" i="2" s="1"/>
  <c r="L54" i="1"/>
  <c r="D47" i="2" s="1"/>
  <c r="L55" i="1"/>
  <c r="D48" i="2" s="1"/>
  <c r="L56" i="1"/>
  <c r="D49" i="2" s="1"/>
  <c r="L57" i="1"/>
  <c r="D50" i="2" s="1"/>
  <c r="L58" i="1"/>
  <c r="D51" i="2" s="1"/>
  <c r="L59" i="1"/>
  <c r="D52" i="2" s="1"/>
  <c r="L60" i="1"/>
  <c r="D53" i="2" s="1"/>
  <c r="L61" i="1"/>
  <c r="D54" i="2" s="1"/>
  <c r="L62" i="1"/>
  <c r="D55" i="2" s="1"/>
  <c r="L63" i="1"/>
  <c r="D56" i="2" s="1"/>
  <c r="L64" i="1"/>
  <c r="D57" i="2" s="1"/>
  <c r="L65" i="1"/>
  <c r="D58" i="2" s="1"/>
  <c r="L66" i="1"/>
  <c r="D59" i="2" s="1"/>
  <c r="L67" i="1"/>
  <c r="D60" i="2" s="1"/>
  <c r="L68" i="1"/>
  <c r="D61" i="2" s="1"/>
  <c r="L69" i="1"/>
  <c r="D62" i="2" s="1"/>
  <c r="L70" i="1"/>
  <c r="D63" i="2" s="1"/>
  <c r="L71" i="1"/>
  <c r="D64" i="2" s="1"/>
  <c r="L72" i="1"/>
  <c r="D65" i="2" s="1"/>
  <c r="L73" i="1"/>
  <c r="D66" i="2" s="1"/>
  <c r="L74" i="1"/>
  <c r="D67" i="2" s="1"/>
  <c r="L75" i="1"/>
  <c r="D68" i="2" s="1"/>
  <c r="L76" i="1"/>
  <c r="D69" i="2" s="1"/>
  <c r="L77" i="1"/>
  <c r="D70" i="2" s="1"/>
  <c r="L78" i="1"/>
  <c r="D71" i="2" s="1"/>
  <c r="L79" i="1"/>
  <c r="D72" i="2" s="1"/>
  <c r="L80" i="1"/>
  <c r="D73" i="2" s="1"/>
  <c r="L81" i="1"/>
  <c r="D74" i="2" s="1"/>
  <c r="L82" i="1"/>
  <c r="D75" i="2" s="1"/>
  <c r="L83" i="1"/>
  <c r="D76" i="2" s="1"/>
  <c r="L84" i="1"/>
  <c r="D77" i="2" s="1"/>
  <c r="L85" i="1"/>
  <c r="D78" i="2" s="1"/>
  <c r="L86" i="1"/>
  <c r="D79" i="2" s="1"/>
  <c r="L87" i="1"/>
  <c r="D80" i="2" s="1"/>
  <c r="L88" i="1"/>
  <c r="D81" i="2" s="1"/>
  <c r="L89" i="1"/>
  <c r="D82" i="2" s="1"/>
  <c r="L90" i="1"/>
  <c r="D83" i="2" s="1"/>
  <c r="L91" i="1"/>
  <c r="D84" i="2" s="1"/>
  <c r="L92" i="1"/>
  <c r="D85" i="2" s="1"/>
  <c r="L93" i="1"/>
  <c r="D86" i="2" s="1"/>
  <c r="L94" i="1"/>
  <c r="D87" i="2" s="1"/>
  <c r="L95" i="1"/>
  <c r="D88" i="2" s="1"/>
  <c r="L96" i="1"/>
  <c r="D89" i="2" s="1"/>
  <c r="L97" i="1"/>
  <c r="D90" i="2" s="1"/>
  <c r="L98" i="1"/>
  <c r="D91" i="2" s="1"/>
  <c r="L99" i="1"/>
  <c r="D92" i="2" s="1"/>
  <c r="L100" i="1"/>
  <c r="D93" i="2" s="1"/>
  <c r="L101" i="1"/>
  <c r="D94" i="2" s="1"/>
  <c r="L102" i="1"/>
  <c r="D95" i="2" s="1"/>
  <c r="L103" i="1"/>
  <c r="D96" i="2" s="1"/>
  <c r="L104" i="1"/>
  <c r="D97" i="2" s="1"/>
  <c r="L105" i="1"/>
  <c r="D98" i="2" s="1"/>
  <c r="I10" i="1"/>
  <c r="K9" i="1" s="1"/>
  <c r="C2" i="2" s="1"/>
  <c r="I11" i="1"/>
  <c r="K10" i="1" s="1"/>
  <c r="C3" i="2" s="1"/>
  <c r="I12" i="1"/>
  <c r="K11" i="1" s="1"/>
  <c r="C4" i="2" s="1"/>
  <c r="I13" i="1"/>
  <c r="K12" i="1" s="1"/>
  <c r="C5" i="2" s="1"/>
  <c r="I14" i="1"/>
  <c r="K13" i="1" s="1"/>
  <c r="C6" i="2" s="1"/>
  <c r="I15" i="1"/>
  <c r="K14" i="1" s="1"/>
  <c r="C7" i="2" s="1"/>
  <c r="I16" i="1"/>
  <c r="K15" i="1" s="1"/>
  <c r="C8" i="2" s="1"/>
  <c r="I17" i="1"/>
  <c r="K16" i="1" s="1"/>
  <c r="C9" i="2" s="1"/>
  <c r="I18" i="1"/>
  <c r="K17" i="1" s="1"/>
  <c r="C10" i="2" s="1"/>
  <c r="I19" i="1"/>
  <c r="K18" i="1" s="1"/>
  <c r="C11" i="2" s="1"/>
  <c r="I20" i="1"/>
  <c r="K19" i="1" s="1"/>
  <c r="C12" i="2" s="1"/>
  <c r="I21" i="1"/>
  <c r="K20" i="1" s="1"/>
  <c r="C13" i="2" s="1"/>
  <c r="I22" i="1"/>
  <c r="K21" i="1" s="1"/>
  <c r="C14" i="2" s="1"/>
  <c r="I23" i="1"/>
  <c r="K22" i="1" s="1"/>
  <c r="C15" i="2" s="1"/>
  <c r="I24" i="1"/>
  <c r="K23" i="1" s="1"/>
  <c r="C16" i="2" s="1"/>
  <c r="I25" i="1"/>
  <c r="K24" i="1" s="1"/>
  <c r="C17" i="2" s="1"/>
  <c r="I26" i="1"/>
  <c r="K25" i="1" s="1"/>
  <c r="C18" i="2" s="1"/>
  <c r="I27" i="1"/>
  <c r="K26" i="1" s="1"/>
  <c r="C19" i="2" s="1"/>
  <c r="I28" i="1"/>
  <c r="K27" i="1" s="1"/>
  <c r="C20" i="2" s="1"/>
  <c r="I29" i="1"/>
  <c r="K28" i="1" s="1"/>
  <c r="C21" i="2" s="1"/>
  <c r="I30" i="1"/>
  <c r="K29" i="1" s="1"/>
  <c r="C22" i="2" s="1"/>
  <c r="I31" i="1"/>
  <c r="K30" i="1" s="1"/>
  <c r="C23" i="2" s="1"/>
  <c r="I32" i="1"/>
  <c r="K31" i="1" s="1"/>
  <c r="C24" i="2" s="1"/>
  <c r="I33" i="1"/>
  <c r="K32" i="1" s="1"/>
  <c r="C25" i="2" s="1"/>
  <c r="I34" i="1"/>
  <c r="K33" i="1" s="1"/>
  <c r="C26" i="2" s="1"/>
  <c r="I35" i="1"/>
  <c r="K34" i="1" s="1"/>
  <c r="C27" i="2" s="1"/>
  <c r="I36" i="1"/>
  <c r="K35" i="1" s="1"/>
  <c r="C28" i="2" s="1"/>
  <c r="I37" i="1"/>
  <c r="K36" i="1" s="1"/>
  <c r="C29" i="2" s="1"/>
  <c r="I38" i="1"/>
  <c r="K37" i="1" s="1"/>
  <c r="C30" i="2" s="1"/>
  <c r="I39" i="1"/>
  <c r="K38" i="1" s="1"/>
  <c r="C31" i="2" s="1"/>
  <c r="I40" i="1"/>
  <c r="K39" i="1" s="1"/>
  <c r="C32" i="2" s="1"/>
  <c r="I41" i="1"/>
  <c r="K40" i="1" s="1"/>
  <c r="C33" i="2" s="1"/>
  <c r="I42" i="1"/>
  <c r="K41" i="1" s="1"/>
  <c r="C34" i="2" s="1"/>
  <c r="I43" i="1"/>
  <c r="K42" i="1" s="1"/>
  <c r="C35" i="2" s="1"/>
  <c r="I44" i="1"/>
  <c r="K43" i="1" s="1"/>
  <c r="C36" i="2" s="1"/>
  <c r="I45" i="1"/>
  <c r="K44" i="1" s="1"/>
  <c r="C37" i="2" s="1"/>
  <c r="I46" i="1"/>
  <c r="K45" i="1" s="1"/>
  <c r="C38" i="2" s="1"/>
  <c r="I47" i="1"/>
  <c r="K46" i="1" s="1"/>
  <c r="C39" i="2" s="1"/>
  <c r="I48" i="1"/>
  <c r="K47" i="1" s="1"/>
  <c r="C40" i="2" s="1"/>
  <c r="I49" i="1"/>
  <c r="K48" i="1" s="1"/>
  <c r="C41" i="2" s="1"/>
  <c r="I50" i="1"/>
  <c r="K49" i="1" s="1"/>
  <c r="C42" i="2" s="1"/>
  <c r="I51" i="1"/>
  <c r="K50" i="1" s="1"/>
  <c r="C43" i="2" s="1"/>
  <c r="I52" i="1"/>
  <c r="K51" i="1" s="1"/>
  <c r="C44" i="2" s="1"/>
  <c r="I53" i="1"/>
  <c r="K52" i="1" s="1"/>
  <c r="C45" i="2" s="1"/>
  <c r="I54" i="1"/>
  <c r="K53" i="1" s="1"/>
  <c r="C46" i="2" s="1"/>
  <c r="I55" i="1"/>
  <c r="K54" i="1" s="1"/>
  <c r="C47" i="2" s="1"/>
  <c r="I56" i="1"/>
  <c r="K55" i="1" s="1"/>
  <c r="C48" i="2" s="1"/>
  <c r="I57" i="1"/>
  <c r="K56" i="1" s="1"/>
  <c r="C49" i="2" s="1"/>
  <c r="I58" i="1"/>
  <c r="I59" i="1"/>
  <c r="K58" i="1" s="1"/>
  <c r="C51" i="2" s="1"/>
  <c r="I60" i="1"/>
  <c r="K59" i="1" s="1"/>
  <c r="C52" i="2" s="1"/>
  <c r="I61" i="1"/>
  <c r="K60" i="1" s="1"/>
  <c r="C53" i="2" s="1"/>
  <c r="I62" i="1"/>
  <c r="K61" i="1" s="1"/>
  <c r="C54" i="2" s="1"/>
  <c r="I63" i="1"/>
  <c r="K62" i="1" s="1"/>
  <c r="C55" i="2" s="1"/>
  <c r="I64" i="1"/>
  <c r="K63" i="1" s="1"/>
  <c r="C56" i="2" s="1"/>
  <c r="I65" i="1"/>
  <c r="K64" i="1" s="1"/>
  <c r="C57" i="2" s="1"/>
  <c r="I66" i="1"/>
  <c r="K65" i="1" s="1"/>
  <c r="C58" i="2" s="1"/>
  <c r="I67" i="1"/>
  <c r="K66" i="1" s="1"/>
  <c r="C59" i="2" s="1"/>
  <c r="I68" i="1"/>
  <c r="K67" i="1" s="1"/>
  <c r="C60" i="2" s="1"/>
  <c r="I69" i="1"/>
  <c r="K68" i="1" s="1"/>
  <c r="C61" i="2" s="1"/>
  <c r="I70" i="1"/>
  <c r="K69" i="1" s="1"/>
  <c r="C62" i="2" s="1"/>
  <c r="I71" i="1"/>
  <c r="K70" i="1" s="1"/>
  <c r="C63" i="2" s="1"/>
  <c r="I72" i="1"/>
  <c r="K71" i="1" s="1"/>
  <c r="C64" i="2" s="1"/>
  <c r="I73" i="1"/>
  <c r="K72" i="1" s="1"/>
  <c r="C65" i="2" s="1"/>
  <c r="I74" i="1"/>
  <c r="K73" i="1" s="1"/>
  <c r="C66" i="2" s="1"/>
  <c r="I75" i="1"/>
  <c r="K74" i="1" s="1"/>
  <c r="C67" i="2" s="1"/>
  <c r="I76" i="1"/>
  <c r="K75" i="1" s="1"/>
  <c r="C68" i="2" s="1"/>
  <c r="I77" i="1"/>
  <c r="K76" i="1" s="1"/>
  <c r="C69" i="2" s="1"/>
  <c r="I78" i="1"/>
  <c r="K77" i="1" s="1"/>
  <c r="C70" i="2" s="1"/>
  <c r="I79" i="1"/>
  <c r="K78" i="1" s="1"/>
  <c r="C71" i="2" s="1"/>
  <c r="I80" i="1"/>
  <c r="K79" i="1" s="1"/>
  <c r="C72" i="2" s="1"/>
  <c r="I81" i="1"/>
  <c r="K80" i="1" s="1"/>
  <c r="C73" i="2" s="1"/>
  <c r="I82" i="1"/>
  <c r="K81" i="1" s="1"/>
  <c r="C74" i="2" s="1"/>
  <c r="I83" i="1"/>
  <c r="K82" i="1" s="1"/>
  <c r="C75" i="2" s="1"/>
  <c r="I84" i="1"/>
  <c r="K83" i="1" s="1"/>
  <c r="C76" i="2" s="1"/>
  <c r="I85" i="1"/>
  <c r="K84" i="1" s="1"/>
  <c r="C77" i="2" s="1"/>
  <c r="I86" i="1"/>
  <c r="K85" i="1" s="1"/>
  <c r="C78" i="2" s="1"/>
  <c r="I87" i="1"/>
  <c r="K86" i="1" s="1"/>
  <c r="C79" i="2" s="1"/>
  <c r="I88" i="1"/>
  <c r="K87" i="1" s="1"/>
  <c r="C80" i="2" s="1"/>
  <c r="I89" i="1"/>
  <c r="K88" i="1" s="1"/>
  <c r="C81" i="2" s="1"/>
  <c r="I90" i="1"/>
  <c r="K89" i="1" s="1"/>
  <c r="C82" i="2" s="1"/>
  <c r="I91" i="1"/>
  <c r="K90" i="1" s="1"/>
  <c r="C83" i="2" s="1"/>
  <c r="I92" i="1"/>
  <c r="K91" i="1" s="1"/>
  <c r="C84" i="2" s="1"/>
  <c r="I93" i="1"/>
  <c r="K92" i="1" s="1"/>
  <c r="C85" i="2" s="1"/>
  <c r="I94" i="1"/>
  <c r="K93" i="1" s="1"/>
  <c r="C86" i="2" s="1"/>
  <c r="I95" i="1"/>
  <c r="K94" i="1" s="1"/>
  <c r="C87" i="2" s="1"/>
  <c r="I96" i="1"/>
  <c r="K95" i="1" s="1"/>
  <c r="C88" i="2" s="1"/>
  <c r="I97" i="1"/>
  <c r="K96" i="1" s="1"/>
  <c r="C89" i="2" s="1"/>
  <c r="I98" i="1"/>
  <c r="K97" i="1" s="1"/>
  <c r="C90" i="2" s="1"/>
  <c r="I99" i="1"/>
  <c r="K98" i="1" s="1"/>
  <c r="C91" i="2" s="1"/>
  <c r="I100" i="1"/>
  <c r="K99" i="1" s="1"/>
  <c r="C92" i="2" s="1"/>
  <c r="I101" i="1"/>
  <c r="K100" i="1" s="1"/>
  <c r="C93" i="2" s="1"/>
  <c r="I102" i="1"/>
  <c r="K101" i="1" s="1"/>
  <c r="C94" i="2" s="1"/>
  <c r="I103" i="1"/>
  <c r="K102" i="1" s="1"/>
  <c r="C95" i="2" s="1"/>
  <c r="I104" i="1"/>
  <c r="K103" i="1" s="1"/>
  <c r="C96" i="2" s="1"/>
  <c r="I105" i="1"/>
  <c r="K104" i="1" s="1"/>
  <c r="C97" i="2" s="1"/>
  <c r="I9" i="1"/>
  <c r="K8" i="1" s="1"/>
  <c r="C1" i="2" s="1"/>
  <c r="K57" i="1"/>
  <c r="C50" i="2" s="1"/>
  <c r="J105" i="1"/>
  <c r="B98" i="2" s="1"/>
  <c r="K105" i="1"/>
  <c r="C98" i="2" s="1"/>
  <c r="F10" i="1"/>
  <c r="J9" i="1" s="1"/>
  <c r="B2" i="2" s="1"/>
  <c r="F11" i="1"/>
  <c r="J10" i="1" s="1"/>
  <c r="B3" i="2" s="1"/>
  <c r="F12" i="1"/>
  <c r="J11" i="1" s="1"/>
  <c r="B4" i="2" s="1"/>
  <c r="F13" i="1"/>
  <c r="J12" i="1" s="1"/>
  <c r="B5" i="2" s="1"/>
  <c r="F14" i="1"/>
  <c r="J13" i="1" s="1"/>
  <c r="B6" i="2" s="1"/>
  <c r="F15" i="1"/>
  <c r="J14" i="1" s="1"/>
  <c r="B7" i="2" s="1"/>
  <c r="F16" i="1"/>
  <c r="J15" i="1" s="1"/>
  <c r="B8" i="2" s="1"/>
  <c r="F17" i="1"/>
  <c r="J16" i="1" s="1"/>
  <c r="B9" i="2" s="1"/>
  <c r="F18" i="1"/>
  <c r="J17" i="1" s="1"/>
  <c r="B10" i="2" s="1"/>
  <c r="F19" i="1"/>
  <c r="J18" i="1" s="1"/>
  <c r="B11" i="2" s="1"/>
  <c r="F20" i="1"/>
  <c r="J19" i="1" s="1"/>
  <c r="B12" i="2" s="1"/>
  <c r="F21" i="1"/>
  <c r="J20" i="1" s="1"/>
  <c r="B13" i="2" s="1"/>
  <c r="F22" i="1"/>
  <c r="J21" i="1" s="1"/>
  <c r="B14" i="2" s="1"/>
  <c r="F23" i="1"/>
  <c r="J22" i="1" s="1"/>
  <c r="B15" i="2" s="1"/>
  <c r="F24" i="1"/>
  <c r="J23" i="1" s="1"/>
  <c r="B16" i="2" s="1"/>
  <c r="F25" i="1"/>
  <c r="J24" i="1" s="1"/>
  <c r="B17" i="2" s="1"/>
  <c r="F26" i="1"/>
  <c r="J25" i="1" s="1"/>
  <c r="B18" i="2" s="1"/>
  <c r="F27" i="1"/>
  <c r="J26" i="1" s="1"/>
  <c r="B19" i="2" s="1"/>
  <c r="F28" i="1"/>
  <c r="J27" i="1" s="1"/>
  <c r="B20" i="2" s="1"/>
  <c r="F29" i="1"/>
  <c r="J28" i="1" s="1"/>
  <c r="B21" i="2" s="1"/>
  <c r="F30" i="1"/>
  <c r="J29" i="1" s="1"/>
  <c r="B22" i="2" s="1"/>
  <c r="F31" i="1"/>
  <c r="J30" i="1" s="1"/>
  <c r="B23" i="2" s="1"/>
  <c r="F32" i="1"/>
  <c r="J31" i="1" s="1"/>
  <c r="B24" i="2" s="1"/>
  <c r="F33" i="1"/>
  <c r="J32" i="1" s="1"/>
  <c r="B25" i="2" s="1"/>
  <c r="F34" i="1"/>
  <c r="J33" i="1" s="1"/>
  <c r="B26" i="2" s="1"/>
  <c r="F35" i="1"/>
  <c r="J34" i="1" s="1"/>
  <c r="B27" i="2" s="1"/>
  <c r="F36" i="1"/>
  <c r="J35" i="1" s="1"/>
  <c r="B28" i="2" s="1"/>
  <c r="F37" i="1"/>
  <c r="J36" i="1" s="1"/>
  <c r="B29" i="2" s="1"/>
  <c r="F38" i="1"/>
  <c r="J37" i="1" s="1"/>
  <c r="B30" i="2" s="1"/>
  <c r="F39" i="1"/>
  <c r="J38" i="1" s="1"/>
  <c r="B31" i="2" s="1"/>
  <c r="F40" i="1"/>
  <c r="J39" i="1" s="1"/>
  <c r="B32" i="2" s="1"/>
  <c r="F41" i="1"/>
  <c r="J40" i="1" s="1"/>
  <c r="B33" i="2" s="1"/>
  <c r="F42" i="1"/>
  <c r="J41" i="1" s="1"/>
  <c r="B34" i="2" s="1"/>
  <c r="F43" i="1"/>
  <c r="J42" i="1" s="1"/>
  <c r="B35" i="2" s="1"/>
  <c r="F44" i="1"/>
  <c r="J43" i="1" s="1"/>
  <c r="B36" i="2" s="1"/>
  <c r="F45" i="1"/>
  <c r="J44" i="1" s="1"/>
  <c r="B37" i="2" s="1"/>
  <c r="F46" i="1"/>
  <c r="J45" i="1" s="1"/>
  <c r="B38" i="2" s="1"/>
  <c r="F47" i="1"/>
  <c r="J46" i="1" s="1"/>
  <c r="B39" i="2" s="1"/>
  <c r="F48" i="1"/>
  <c r="J47" i="1" s="1"/>
  <c r="B40" i="2" s="1"/>
  <c r="F49" i="1"/>
  <c r="J48" i="1" s="1"/>
  <c r="B41" i="2" s="1"/>
  <c r="F50" i="1"/>
  <c r="J49" i="1" s="1"/>
  <c r="B42" i="2" s="1"/>
  <c r="F51" i="1"/>
  <c r="J50" i="1" s="1"/>
  <c r="B43" i="2" s="1"/>
  <c r="F52" i="1"/>
  <c r="J51" i="1" s="1"/>
  <c r="B44" i="2" s="1"/>
  <c r="F53" i="1"/>
  <c r="J52" i="1" s="1"/>
  <c r="B45" i="2" s="1"/>
  <c r="F54" i="1"/>
  <c r="J53" i="1" s="1"/>
  <c r="B46" i="2" s="1"/>
  <c r="F55" i="1"/>
  <c r="J54" i="1" s="1"/>
  <c r="B47" i="2" s="1"/>
  <c r="F56" i="1"/>
  <c r="J55" i="1" s="1"/>
  <c r="B48" i="2" s="1"/>
  <c r="F57" i="1"/>
  <c r="J56" i="1" s="1"/>
  <c r="B49" i="2" s="1"/>
  <c r="F58" i="1"/>
  <c r="J57" i="1" s="1"/>
  <c r="B50" i="2" s="1"/>
  <c r="F59" i="1"/>
  <c r="J58" i="1" s="1"/>
  <c r="B51" i="2" s="1"/>
  <c r="F60" i="1"/>
  <c r="J59" i="1" s="1"/>
  <c r="B52" i="2" s="1"/>
  <c r="F61" i="1"/>
  <c r="J60" i="1" s="1"/>
  <c r="B53" i="2" s="1"/>
  <c r="F62" i="1"/>
  <c r="J61" i="1" s="1"/>
  <c r="B54" i="2" s="1"/>
  <c r="F63" i="1"/>
  <c r="J62" i="1" s="1"/>
  <c r="B55" i="2" s="1"/>
  <c r="F64" i="1"/>
  <c r="J63" i="1" s="1"/>
  <c r="B56" i="2" s="1"/>
  <c r="F65" i="1"/>
  <c r="J64" i="1" s="1"/>
  <c r="B57" i="2" s="1"/>
  <c r="F66" i="1"/>
  <c r="J65" i="1" s="1"/>
  <c r="B58" i="2" s="1"/>
  <c r="F67" i="1"/>
  <c r="J66" i="1" s="1"/>
  <c r="B59" i="2" s="1"/>
  <c r="F68" i="1"/>
  <c r="F69" i="1"/>
  <c r="J68" i="1" s="1"/>
  <c r="B61" i="2" s="1"/>
  <c r="F70" i="1"/>
  <c r="J69" i="1" s="1"/>
  <c r="B62" i="2" s="1"/>
  <c r="F71" i="1"/>
  <c r="J70" i="1" s="1"/>
  <c r="B63" i="2" s="1"/>
  <c r="F72" i="1"/>
  <c r="F73" i="1"/>
  <c r="J72" i="1" s="1"/>
  <c r="B65" i="2" s="1"/>
  <c r="F74" i="1"/>
  <c r="J73" i="1" s="1"/>
  <c r="B66" i="2" s="1"/>
  <c r="F75" i="1"/>
  <c r="J74" i="1" s="1"/>
  <c r="B67" i="2" s="1"/>
  <c r="F76" i="1"/>
  <c r="F77" i="1"/>
  <c r="J76" i="1" s="1"/>
  <c r="B69" i="2" s="1"/>
  <c r="F78" i="1"/>
  <c r="J77" i="1" s="1"/>
  <c r="B70" i="2" s="1"/>
  <c r="F79" i="1"/>
  <c r="F80" i="1"/>
  <c r="F81" i="1"/>
  <c r="J80" i="1" s="1"/>
  <c r="B73" i="2" s="1"/>
  <c r="F82" i="1"/>
  <c r="J81" i="1" s="1"/>
  <c r="B74" i="2" s="1"/>
  <c r="F83" i="1"/>
  <c r="J82" i="1" s="1"/>
  <c r="B75" i="2" s="1"/>
  <c r="F84" i="1"/>
  <c r="J83" i="1" s="1"/>
  <c r="B76" i="2" s="1"/>
  <c r="F85" i="1"/>
  <c r="J84" i="1" s="1"/>
  <c r="B77" i="2" s="1"/>
  <c r="F86" i="1"/>
  <c r="J85" i="1" s="1"/>
  <c r="B78" i="2" s="1"/>
  <c r="F87" i="1"/>
  <c r="J86" i="1" s="1"/>
  <c r="B79" i="2" s="1"/>
  <c r="F88" i="1"/>
  <c r="J87" i="1" s="1"/>
  <c r="B80" i="2" s="1"/>
  <c r="F89" i="1"/>
  <c r="J88" i="1" s="1"/>
  <c r="B81" i="2" s="1"/>
  <c r="F90" i="1"/>
  <c r="J89" i="1" s="1"/>
  <c r="B82" i="2" s="1"/>
  <c r="F91" i="1"/>
  <c r="J90" i="1" s="1"/>
  <c r="B83" i="2" s="1"/>
  <c r="F92" i="1"/>
  <c r="J91" i="1" s="1"/>
  <c r="B84" i="2" s="1"/>
  <c r="F93" i="1"/>
  <c r="J92" i="1" s="1"/>
  <c r="B85" i="2" s="1"/>
  <c r="F94" i="1"/>
  <c r="J93" i="1" s="1"/>
  <c r="B86" i="2" s="1"/>
  <c r="F95" i="1"/>
  <c r="J94" i="1" s="1"/>
  <c r="B87" i="2" s="1"/>
  <c r="F96" i="1"/>
  <c r="J95" i="1" s="1"/>
  <c r="B88" i="2" s="1"/>
  <c r="F97" i="1"/>
  <c r="F98" i="1"/>
  <c r="F99" i="1"/>
  <c r="F100" i="1"/>
  <c r="F101" i="1"/>
  <c r="J100" i="1" s="1"/>
  <c r="B93" i="2" s="1"/>
  <c r="F102" i="1"/>
  <c r="J101" i="1" s="1"/>
  <c r="B94" i="2" s="1"/>
  <c r="F103" i="1"/>
  <c r="J102" i="1" s="1"/>
  <c r="B95" i="2" s="1"/>
  <c r="F104" i="1"/>
  <c r="J103" i="1" s="1"/>
  <c r="B96" i="2" s="1"/>
  <c r="F105" i="1"/>
  <c r="J104" i="1" s="1"/>
  <c r="B97" i="2" s="1"/>
  <c r="F9" i="1"/>
  <c r="J8" i="1" s="1"/>
  <c r="B1" i="2" s="1"/>
  <c r="D99" i="1" l="1"/>
  <c r="J99" i="1" s="1"/>
  <c r="B92" i="2" s="1"/>
  <c r="D98" i="1"/>
  <c r="J98" i="1" s="1"/>
  <c r="B91" i="2" s="1"/>
  <c r="D97" i="1"/>
  <c r="J97" i="1" s="1"/>
  <c r="B90" i="2" s="1"/>
  <c r="D96" i="1"/>
  <c r="J96" i="1" s="1"/>
  <c r="B89" i="2" s="1"/>
  <c r="D79" i="1"/>
  <c r="J79" i="1" s="1"/>
  <c r="B72" i="2" s="1"/>
  <c r="D78" i="1"/>
  <c r="D75" i="1"/>
  <c r="J75" i="1" s="1"/>
  <c r="B68" i="2" s="1"/>
  <c r="D71" i="1"/>
  <c r="J71" i="1" s="1"/>
  <c r="B64" i="2" s="1"/>
  <c r="D67" i="1"/>
  <c r="J67" i="1" s="1"/>
  <c r="B60" i="2" s="1"/>
  <c r="A9" i="1"/>
  <c r="A10" i="1" l="1"/>
  <c r="J78" i="1"/>
  <c r="B71" i="2" s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l="1"/>
  <c r="A55" i="1" l="1"/>
  <c r="A56" i="1" l="1"/>
  <c r="A57" i="1" l="1"/>
  <c r="A58" i="1" l="1"/>
  <c r="A59" i="1" l="1"/>
  <c r="A60" i="1" l="1"/>
  <c r="A61" i="1" l="1"/>
  <c r="A62" i="1" l="1"/>
  <c r="A63" i="1" l="1"/>
  <c r="A64" i="1" l="1"/>
  <c r="A65" i="1" l="1"/>
  <c r="A66" i="1" l="1"/>
  <c r="A67" i="1" l="1"/>
  <c r="A68" i="1" l="1"/>
  <c r="A69" i="1" l="1"/>
  <c r="A70" i="1" l="1"/>
  <c r="A71" i="1" l="1"/>
  <c r="A72" i="1" l="1"/>
  <c r="A73" i="1" l="1"/>
  <c r="A74" i="1" l="1"/>
  <c r="A75" i="1" l="1"/>
  <c r="A76" i="1" l="1"/>
  <c r="A77" i="1" l="1"/>
  <c r="A78" i="1" l="1"/>
  <c r="A79" i="1" l="1"/>
  <c r="A80" i="1" l="1"/>
  <c r="A81" i="1" l="1"/>
  <c r="A82" i="1" l="1"/>
  <c r="A83" i="1" l="1"/>
  <c r="A84" i="1" l="1"/>
  <c r="A85" i="1" l="1"/>
  <c r="A86" i="1" l="1"/>
  <c r="A87" i="1" l="1"/>
  <c r="A88" i="1" l="1"/>
  <c r="A89" i="1" l="1"/>
  <c r="A90" i="1" l="1"/>
  <c r="A91" i="1" l="1"/>
  <c r="A92" i="1" l="1"/>
  <c r="A93" i="1" l="1"/>
  <c r="A94" i="1" l="1"/>
  <c r="A95" i="1" l="1"/>
  <c r="A96" i="1" l="1"/>
  <c r="A97" i="1" l="1"/>
  <c r="A98" i="1" l="1"/>
  <c r="A99" i="1" l="1"/>
  <c r="A100" i="1" l="1"/>
  <c r="A101" i="1" l="1"/>
  <c r="A102" i="1" l="1"/>
  <c r="A103" i="1" l="1"/>
  <c r="A104" i="1" l="1"/>
  <c r="A105" i="1" l="1"/>
</calcChain>
</file>

<file path=xl/sharedStrings.xml><?xml version="1.0" encoding="utf-8"?>
<sst xmlns="http://schemas.openxmlformats.org/spreadsheetml/2006/main" count="99" uniqueCount="49">
  <si>
    <t>reer</t>
  </si>
  <si>
    <t>cpi</t>
  </si>
  <si>
    <t>rd</t>
  </si>
  <si>
    <t>gdp</t>
  </si>
  <si>
    <t>real</t>
  </si>
  <si>
    <t>no</t>
  </si>
  <si>
    <t>chile</t>
  </si>
  <si>
    <t>bcch</t>
  </si>
  <si>
    <t>short</t>
  </si>
  <si>
    <t>country</t>
  </si>
  <si>
    <t>units</t>
  </si>
  <si>
    <t>source</t>
  </si>
  <si>
    <t>type</t>
  </si>
  <si>
    <t>index</t>
  </si>
  <si>
    <t>ifs-imf</t>
  </si>
  <si>
    <t>consumer price inflation</t>
  </si>
  <si>
    <t>nominal</t>
  </si>
  <si>
    <t>cpi inflation</t>
  </si>
  <si>
    <t>own</t>
  </si>
  <si>
    <t>domestic interest rate</t>
  </si>
  <si>
    <t>usa</t>
  </si>
  <si>
    <t>fred</t>
  </si>
  <si>
    <t>def</t>
  </si>
  <si>
    <t>tbillch</t>
  </si>
  <si>
    <t>tbillus</t>
  </si>
  <si>
    <t>cpiinf</t>
  </si>
  <si>
    <t>def inflation</t>
  </si>
  <si>
    <t>definf</t>
  </si>
  <si>
    <t>re</t>
  </si>
  <si>
    <t>foreign interest rate</t>
  </si>
  <si>
    <t>lnreer</t>
  </si>
  <si>
    <t>log of index</t>
  </si>
  <si>
    <t>sa</t>
  </si>
  <si>
    <t>yes</t>
  </si>
  <si>
    <t>gross domestic product</t>
  </si>
  <si>
    <t>mmm clp</t>
  </si>
  <si>
    <t>log reer</t>
  </si>
  <si>
    <t>gdp growth</t>
  </si>
  <si>
    <t>rgdpg</t>
  </si>
  <si>
    <t>% per qtr.</t>
  </si>
  <si>
    <t>% per anm.</t>
  </si>
  <si>
    <t>gdp price deflator</t>
  </si>
  <si>
    <t>real exchange rate</t>
  </si>
  <si>
    <t>3-month tbill rate</t>
  </si>
  <si>
    <t>TOT index</t>
  </si>
  <si>
    <t>imf</t>
  </si>
  <si>
    <t>tot</t>
  </si>
  <si>
    <t>tot index brecha</t>
  </si>
  <si>
    <t>tot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</si>
</sst>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2" fontId="0" fillId="2" borderId="0" xfId="0" applyNumberFormat="1" applyFill="1"/>
    <xf numFmtId="3" fontId="0" fillId="2" borderId="2" xfId="0" applyNumberFormat="1" applyFill="1" applyBorder="1" applyAlignment="1"/>
    <xf numFmtId="2" fontId="0" fillId="2" borderId="0" xfId="0" applyNumberFormat="1" applyFill="1" applyBorder="1" applyAlignment="1"/>
    <xf numFmtId="2" fontId="0" fillId="2" borderId="0" xfId="0" applyNumberFormat="1" applyFont="1" applyFill="1" applyBorder="1" applyAlignment="1"/>
    <xf numFmtId="2" fontId="0" fillId="2" borderId="1" xfId="0" applyNumberFormat="1" applyFont="1" applyFill="1" applyBorder="1" applyAlignment="1"/>
    <xf numFmtId="2" fontId="1" fillId="2" borderId="0" xfId="0" applyNumberFormat="1" applyFont="1" applyFill="1" applyBorder="1" applyAlignment="1"/>
    <xf numFmtId="2" fontId="0" fillId="2" borderId="1" xfId="0" applyNumberFormat="1" applyFill="1" applyBorder="1" applyAlignment="1"/>
    <xf numFmtId="0" fontId="0" fillId="3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3" fontId="0" fillId="5" borderId="4" xfId="0" applyNumberFormat="1" applyFill="1" applyBorder="1" applyAlignment="1">
      <alignment horizontal="center"/>
    </xf>
    <xf numFmtId="3" fontId="0" fillId="5" borderId="5" xfId="0" applyNumberFormat="1" applyFill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49" fontId="0" fillId="5" borderId="6" xfId="0" applyNumberFormat="1" applyFill="1" applyBorder="1" applyAlignment="1">
      <alignment horizontal="center"/>
    </xf>
    <xf numFmtId="0" fontId="0" fillId="6" borderId="9" xfId="0" applyFill="1" applyBorder="1" applyAlignment="1">
      <alignment horizontal="right"/>
    </xf>
    <xf numFmtId="0" fontId="0" fillId="6" borderId="10" xfId="0" applyFill="1" applyBorder="1" applyAlignment="1">
      <alignment horizontal="right"/>
    </xf>
    <xf numFmtId="2" fontId="0" fillId="7" borderId="11" xfId="0" applyNumberFormat="1" applyFill="1" applyBorder="1" applyAlignment="1">
      <alignment horizontal="right"/>
    </xf>
    <xf numFmtId="2" fontId="0" fillId="2" borderId="12" xfId="0" applyNumberFormat="1" applyFill="1" applyBorder="1" applyAlignment="1"/>
    <xf numFmtId="2" fontId="0" fillId="7" borderId="10" xfId="0" applyNumberFormat="1" applyFill="1" applyBorder="1" applyAlignment="1">
      <alignment horizontal="right"/>
    </xf>
    <xf numFmtId="2" fontId="0" fillId="2" borderId="7" xfId="0" applyNumberFormat="1" applyFill="1" applyBorder="1" applyAlignment="1"/>
    <xf numFmtId="2" fontId="0" fillId="7" borderId="13" xfId="0" applyNumberFormat="1" applyFill="1" applyBorder="1" applyAlignment="1">
      <alignment horizontal="right"/>
    </xf>
    <xf numFmtId="3" fontId="0" fillId="2" borderId="14" xfId="0" applyNumberFormat="1" applyFill="1" applyBorder="1" applyAlignment="1"/>
    <xf numFmtId="2" fontId="0" fillId="2" borderId="15" xfId="0" applyNumberFormat="1" applyFill="1" applyBorder="1" applyAlignment="1"/>
    <xf numFmtId="2" fontId="0" fillId="2" borderId="15" xfId="0" applyNumberFormat="1" applyFont="1" applyFill="1" applyBorder="1" applyAlignment="1"/>
    <xf numFmtId="2" fontId="0" fillId="2" borderId="8" xfId="0" applyNumberFormat="1" applyFill="1" applyBorder="1" applyAlignment="1"/>
    <xf numFmtId="2" fontId="0" fillId="2" borderId="11" xfId="0" applyNumberFormat="1" applyFont="1" applyFill="1" applyBorder="1" applyAlignment="1"/>
    <xf numFmtId="2" fontId="1" fillId="2" borderId="12" xfId="0" applyNumberFormat="1" applyFont="1" applyFill="1" applyBorder="1" applyAlignment="1"/>
    <xf numFmtId="2" fontId="0" fillId="2" borderId="10" xfId="0" applyNumberFormat="1" applyFont="1" applyFill="1" applyBorder="1" applyAlignment="1"/>
    <xf numFmtId="2" fontId="0" fillId="2" borderId="7" xfId="0" applyNumberFormat="1" applyFont="1" applyFill="1" applyBorder="1" applyAlignment="1"/>
    <xf numFmtId="2" fontId="0" fillId="2" borderId="13" xfId="0" applyNumberFormat="1" applyFont="1" applyFill="1" applyBorder="1" applyAlignment="1"/>
    <xf numFmtId="2" fontId="0" fillId="2" borderId="8" xfId="0" applyNumberFormat="1" applyFont="1" applyFill="1" applyBorder="1" applyAlignment="1"/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right"/>
    </xf>
  </cellXfs>
  <cellStyles count="1">
    <cellStyle name="Normal" xfId="0" builtinId="0"/>
  </cellStyles>
  <dxfs count="1">
    <dxf>
      <fill>
        <patternFill>
          <fgColor indexed="64"/>
          <bgColor theme="0" tint="-0.149937437055574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0AFD-5B7A-402E-B059-077535D27226}">
  <dimension ref="A1:F158"/>
  <sheetViews>
    <sheetView tabSelected="1" workbookViewId="0">
      <selection activeCell="B4" sqref="B4"/>
    </sheetView>
  </sheetViews>
  <sheetFormatPr baseColWidth="10" defaultColWidth="11.5" defaultRowHeight="15" x14ac:dyDescent="0.2"/>
  <cols>
    <col min="1" max="5" width="11.5" style="1"/>
    <col min="6" max="6" width="11.5" style="3"/>
    <col min="7" max="16384" width="11.5" style="1"/>
  </cols>
  <sheetData>
    <row r="1" spans="1:6" x14ac:dyDescent="0.2">
      <c r="A1" s="18">
        <v>1998</v>
      </c>
      <c r="B1" s="34">
        <f>'raw data'!J8</f>
        <v>3.1840034700346465</v>
      </c>
      <c r="C1" s="34">
        <f>'raw data'!K8</f>
        <v>1.0018465683000022</v>
      </c>
      <c r="D1" s="34">
        <f>'raw data'!L8</f>
        <v>4.7401984989966195</v>
      </c>
      <c r="E1" s="34">
        <f>'raw data'!M8</f>
        <v>0.8033266861102506</v>
      </c>
      <c r="F1" s="1">
        <v>90.97</v>
      </c>
    </row>
    <row r="2" spans="1:6" x14ac:dyDescent="0.2">
      <c r="A2" s="20">
        <f t="shared" ref="A2:A65" si="0">+A1+0.25</f>
        <v>1998.25</v>
      </c>
      <c r="B2" s="34">
        <f>'raw data'!J9</f>
        <v>2.4394773710177287</v>
      </c>
      <c r="C2" s="34">
        <f>'raw data'!K9</f>
        <v>0.78940198938477479</v>
      </c>
      <c r="D2" s="34">
        <f>'raw data'!L9</f>
        <v>4.7351995651974708</v>
      </c>
      <c r="E2" s="34">
        <f>'raw data'!M9</f>
        <v>1.6821300966380903</v>
      </c>
      <c r="F2" s="1">
        <v>91.98</v>
      </c>
    </row>
    <row r="3" spans="1:6" x14ac:dyDescent="0.2">
      <c r="A3" s="20">
        <f t="shared" si="0"/>
        <v>1998.5</v>
      </c>
      <c r="B3" s="34">
        <f>'raw data'!J10</f>
        <v>2.6024718575511585</v>
      </c>
      <c r="C3" s="34">
        <f>'raw data'!K10</f>
        <v>0.90759658866730319</v>
      </c>
      <c r="D3" s="34">
        <f>'raw data'!L10</f>
        <v>4.7169762955276777</v>
      </c>
      <c r="E3" s="34">
        <f>'raw data'!M10</f>
        <v>-0.6739597659919383</v>
      </c>
      <c r="F3" s="1">
        <v>91.39</v>
      </c>
    </row>
    <row r="4" spans="1:6" x14ac:dyDescent="0.2">
      <c r="A4" s="20">
        <f>+A3+0.25</f>
        <v>1998.75</v>
      </c>
      <c r="B4" s="34">
        <f>'raw data'!J11</f>
        <v>3.4107569479151723</v>
      </c>
      <c r="C4" s="34">
        <f>'raw data'!K11</f>
        <v>0.72550674780613722</v>
      </c>
      <c r="D4" s="34">
        <f>'raw data'!L11</f>
        <v>4.7072673794576225</v>
      </c>
      <c r="E4" s="34">
        <f>'raw data'!M11</f>
        <v>-3.2902817986633082</v>
      </c>
      <c r="F4" s="1">
        <v>91.27</v>
      </c>
    </row>
    <row r="5" spans="1:6" x14ac:dyDescent="0.2">
      <c r="A5" s="20">
        <f t="shared" si="0"/>
        <v>1999</v>
      </c>
      <c r="B5" s="34">
        <f>'raw data'!J12</f>
        <v>1.7482146300228152</v>
      </c>
      <c r="C5" s="34">
        <f>'raw data'!K12</f>
        <v>0.7032644268633037</v>
      </c>
      <c r="D5" s="34">
        <f>'raw data'!L12</f>
        <v>4.7039828380868682</v>
      </c>
      <c r="E5" s="34">
        <f>'raw data'!M12</f>
        <v>1.9192531630274345E-2</v>
      </c>
      <c r="F5" s="1">
        <v>90.55</v>
      </c>
    </row>
    <row r="6" spans="1:6" x14ac:dyDescent="0.2">
      <c r="A6" s="20">
        <f t="shared" si="0"/>
        <v>1999.25</v>
      </c>
      <c r="B6" s="34">
        <f>'raw data'!J13</f>
        <v>2.3465785447998933</v>
      </c>
      <c r="C6" s="34">
        <f>'raw data'!K13</f>
        <v>0.73701935525849471</v>
      </c>
      <c r="D6" s="34">
        <f>'raw data'!L13</f>
        <v>4.715731114549655</v>
      </c>
      <c r="E6" s="34">
        <f>'raw data'!M13</f>
        <v>0.27246500474262803</v>
      </c>
      <c r="F6" s="1">
        <v>90.14</v>
      </c>
    </row>
    <row r="7" spans="1:6" x14ac:dyDescent="0.2">
      <c r="A7" s="20">
        <f t="shared" si="0"/>
        <v>1999.5</v>
      </c>
      <c r="B7" s="34">
        <f>'raw data'!J14</f>
        <v>1.5977217552211487</v>
      </c>
      <c r="C7" s="34">
        <f>'raw data'!K14</f>
        <v>0.58838266564831265</v>
      </c>
      <c r="D7" s="34">
        <f>'raw data'!L14</f>
        <v>4.6633152745410609</v>
      </c>
      <c r="E7" s="34">
        <f>'raw data'!M14</f>
        <v>2.0875808016036501</v>
      </c>
      <c r="F7" s="1">
        <v>90.54</v>
      </c>
    </row>
    <row r="8" spans="1:6" x14ac:dyDescent="0.2">
      <c r="A8" s="20">
        <f t="shared" si="0"/>
        <v>1999.75</v>
      </c>
      <c r="B8" s="34">
        <f>'raw data'!J15</f>
        <v>1.6372148097747896</v>
      </c>
      <c r="C8" s="34">
        <f>'raw data'!K15</f>
        <v>0.57254863907556519</v>
      </c>
      <c r="D8" s="34">
        <f>'raw data'!L15</f>
        <v>4.6190542606973057</v>
      </c>
      <c r="E8" s="34">
        <f>'raw data'!M15</f>
        <v>2.5999692297515864</v>
      </c>
      <c r="F8" s="1">
        <v>90.85</v>
      </c>
    </row>
    <row r="9" spans="1:6" x14ac:dyDescent="0.2">
      <c r="A9" s="20">
        <f t="shared" si="0"/>
        <v>2000</v>
      </c>
      <c r="B9" s="34">
        <f>'raw data'!J16</f>
        <v>1.4623907226608779</v>
      </c>
      <c r="C9" s="34">
        <f>'raw data'!K16</f>
        <v>0.72679191285183187</v>
      </c>
      <c r="D9" s="34">
        <f>'raw data'!L16</f>
        <v>4.6847752632636963</v>
      </c>
      <c r="E9" s="34">
        <f>'raw data'!M16</f>
        <v>0.94034524811554832</v>
      </c>
      <c r="F9" s="1">
        <v>91.11</v>
      </c>
    </row>
    <row r="10" spans="1:6" x14ac:dyDescent="0.2">
      <c r="A10" s="20">
        <f t="shared" si="0"/>
        <v>2000.25</v>
      </c>
      <c r="B10" s="34">
        <f>'raw data'!J17</f>
        <v>1.8338143003885365</v>
      </c>
      <c r="C10" s="34">
        <f>'raw data'!K17</f>
        <v>0.80863115784011175</v>
      </c>
      <c r="D10" s="34">
        <f>'raw data'!L17</f>
        <v>4.6992387225476611</v>
      </c>
      <c r="E10" s="34">
        <f>'raw data'!M17</f>
        <v>0.22144889812807378</v>
      </c>
      <c r="F10" s="1">
        <v>90.58</v>
      </c>
    </row>
    <row r="11" spans="1:6" x14ac:dyDescent="0.2">
      <c r="A11" s="20">
        <f t="shared" si="0"/>
        <v>2000.5</v>
      </c>
      <c r="B11" s="34">
        <f>'raw data'!J18</f>
        <v>1.0105445018011361</v>
      </c>
      <c r="C11" s="34">
        <f>'raw data'!K18</f>
        <v>0.92588271224256502</v>
      </c>
      <c r="D11" s="34">
        <f>'raw data'!L18</f>
        <v>4.6468906230301235</v>
      </c>
      <c r="E11" s="34">
        <f>'raw data'!M18</f>
        <v>1.5439195966791885</v>
      </c>
      <c r="F11" s="1">
        <v>90.81</v>
      </c>
    </row>
    <row r="12" spans="1:6" x14ac:dyDescent="0.2">
      <c r="A12" s="20">
        <f t="shared" si="0"/>
        <v>2000.75</v>
      </c>
      <c r="B12" s="34">
        <f>'raw data'!J19</f>
        <v>2.0563538456244812</v>
      </c>
      <c r="C12" s="34">
        <f>'raw data'!K19</f>
        <v>0.8113876883680371</v>
      </c>
      <c r="D12" s="34">
        <f>'raw data'!L19</f>
        <v>4.6406377214704806</v>
      </c>
      <c r="E12" s="34">
        <f>'raw data'!M19</f>
        <v>1.1667927057573024</v>
      </c>
      <c r="F12" s="1">
        <v>90.53</v>
      </c>
    </row>
    <row r="13" spans="1:6" x14ac:dyDescent="0.2">
      <c r="A13" s="20">
        <f t="shared" si="0"/>
        <v>2001</v>
      </c>
      <c r="B13" s="34">
        <f>'raw data'!J20</f>
        <v>0.83931099915519614</v>
      </c>
      <c r="C13" s="34">
        <f>'raw data'!K20</f>
        <v>0.57664149465284087</v>
      </c>
      <c r="D13" s="34">
        <f>'raw data'!L20</f>
        <v>4.6377170512066384</v>
      </c>
      <c r="E13" s="34">
        <f>'raw data'!M20</f>
        <v>0.69431063732583453</v>
      </c>
      <c r="F13" s="1">
        <v>90.42</v>
      </c>
    </row>
    <row r="14" spans="1:6" x14ac:dyDescent="0.2">
      <c r="A14" s="20">
        <f t="shared" si="0"/>
        <v>2001.25</v>
      </c>
      <c r="B14" s="34">
        <f>'raw data'!J21</f>
        <v>1.171005995712382</v>
      </c>
      <c r="C14" s="34">
        <f>'raw data'!K21</f>
        <v>0.50880317433750211</v>
      </c>
      <c r="D14" s="34">
        <f>'raw data'!L21</f>
        <v>4.612398353719942</v>
      </c>
      <c r="E14" s="34">
        <f>'raw data'!M21</f>
        <v>0.96407652777656949</v>
      </c>
      <c r="F14" s="1">
        <v>90.05</v>
      </c>
    </row>
    <row r="15" spans="1:6" x14ac:dyDescent="0.2">
      <c r="A15" s="20">
        <f t="shared" si="0"/>
        <v>2001.5</v>
      </c>
      <c r="B15" s="34">
        <f>'raw data'!J22</f>
        <v>0.8961577023937739</v>
      </c>
      <c r="C15" s="34">
        <f>'raw data'!K22</f>
        <v>0.47123164613487312</v>
      </c>
      <c r="D15" s="34">
        <f>'raw data'!L22</f>
        <v>4.5171708035494591</v>
      </c>
      <c r="E15" s="34">
        <f>'raw data'!M22</f>
        <v>-0.23537216349946988</v>
      </c>
      <c r="F15" s="1">
        <v>89.54</v>
      </c>
    </row>
    <row r="16" spans="1:6" x14ac:dyDescent="0.2">
      <c r="A16" s="20">
        <f t="shared" si="0"/>
        <v>2001.75</v>
      </c>
      <c r="B16" s="34">
        <f>'raw data'!J23</f>
        <v>1.7017474041101321</v>
      </c>
      <c r="C16" s="34">
        <f>'raw data'!K23</f>
        <v>0.15011317818145464</v>
      </c>
      <c r="D16" s="34">
        <f>'raw data'!L23</f>
        <v>4.4790096503468622</v>
      </c>
      <c r="E16" s="34">
        <f>'raw data'!M23</f>
        <v>0.62265779347452366</v>
      </c>
      <c r="F16" s="1">
        <v>89.15</v>
      </c>
    </row>
    <row r="17" spans="1:6" x14ac:dyDescent="0.2">
      <c r="A17" s="20">
        <f t="shared" si="0"/>
        <v>2002</v>
      </c>
      <c r="B17" s="34">
        <f>'raw data'!J24</f>
        <v>0.58275560871514642</v>
      </c>
      <c r="C17" s="34">
        <f>'raw data'!K24</f>
        <v>8.1141353731073451E-2</v>
      </c>
      <c r="D17" s="34">
        <f>'raw data'!L24</f>
        <v>4.5301303043698242</v>
      </c>
      <c r="E17" s="34">
        <f>'raw data'!M24</f>
        <v>0.83394740649325172</v>
      </c>
      <c r="F17" s="1">
        <v>89.94</v>
      </c>
    </row>
    <row r="18" spans="1:6" x14ac:dyDescent="0.2">
      <c r="A18" s="20">
        <f t="shared" si="0"/>
        <v>2002.25</v>
      </c>
      <c r="B18" s="34">
        <f>'raw data'!J25</f>
        <v>0.1102157860362496</v>
      </c>
      <c r="C18" s="34">
        <f>'raw data'!K25</f>
        <v>-5.4575318115279714E-2</v>
      </c>
      <c r="D18" s="34">
        <f>'raw data'!L25</f>
        <v>4.5622433620549439</v>
      </c>
      <c r="E18" s="34">
        <f>'raw data'!M25</f>
        <v>0.81016765556043424</v>
      </c>
      <c r="F18" s="1">
        <v>89.86</v>
      </c>
    </row>
    <row r="19" spans="1:6" x14ac:dyDescent="0.2">
      <c r="A19" s="20">
        <f t="shared" si="0"/>
        <v>2002.5</v>
      </c>
      <c r="B19" s="34">
        <f>'raw data'!J26</f>
        <v>-0.55850513866004814</v>
      </c>
      <c r="C19" s="34">
        <f>'raw data'!K26</f>
        <v>-0.16230246111815783</v>
      </c>
      <c r="D19" s="34">
        <f>'raw data'!L26</f>
        <v>4.4889450926047845</v>
      </c>
      <c r="E19" s="34">
        <f>'raw data'!M26</f>
        <v>1.0834466274795673</v>
      </c>
      <c r="F19" s="1">
        <v>90.06</v>
      </c>
    </row>
    <row r="20" spans="1:6" x14ac:dyDescent="0.2">
      <c r="A20" s="20">
        <f t="shared" si="0"/>
        <v>2002.75</v>
      </c>
      <c r="B20" s="34">
        <f>'raw data'!J27</f>
        <v>2.500732309844711E-2</v>
      </c>
      <c r="C20" s="34">
        <f>'raw data'!K27</f>
        <v>-0.16576741026431696</v>
      </c>
      <c r="D20" s="34">
        <f>'raw data'!L27</f>
        <v>4.4896330668081754</v>
      </c>
      <c r="E20" s="34">
        <f>'raw data'!M27</f>
        <v>1.442826175128431</v>
      </c>
      <c r="F20" s="1">
        <v>89.41</v>
      </c>
    </row>
    <row r="21" spans="1:6" x14ac:dyDescent="0.2">
      <c r="A21" s="20">
        <f t="shared" si="0"/>
        <v>2003</v>
      </c>
      <c r="B21" s="34">
        <f>'raw data'!J28</f>
        <v>1.8622544132895769E-2</v>
      </c>
      <c r="C21" s="34">
        <f>'raw data'!K28</f>
        <v>-5.5537002512340283E-2</v>
      </c>
      <c r="D21" s="34">
        <f>'raw data'!L28</f>
        <v>4.4422852182374157</v>
      </c>
      <c r="E21" s="34">
        <f>'raw data'!M28</f>
        <v>1.4110504684799352</v>
      </c>
      <c r="F21" s="1">
        <v>89.96</v>
      </c>
    </row>
    <row r="22" spans="1:6" x14ac:dyDescent="0.2">
      <c r="A22" s="20">
        <f t="shared" si="0"/>
        <v>2003.25</v>
      </c>
      <c r="B22" s="34">
        <f>'raw data'!J29</f>
        <v>0.68852777614174521</v>
      </c>
      <c r="C22" s="34">
        <f>'raw data'!K29</f>
        <v>-0.30569980088874793</v>
      </c>
      <c r="D22" s="34">
        <f>'raw data'!L29</f>
        <v>4.4268785040299221</v>
      </c>
      <c r="E22" s="34">
        <f>'raw data'!M29</f>
        <v>1.0531119412783951</v>
      </c>
      <c r="F22" s="1">
        <v>89.95</v>
      </c>
    </row>
    <row r="23" spans="1:6" x14ac:dyDescent="0.2">
      <c r="A23" s="20">
        <f t="shared" si="0"/>
        <v>2003.5</v>
      </c>
      <c r="B23" s="34">
        <f>'raw data'!J30</f>
        <v>1.0091839596914287</v>
      </c>
      <c r="C23" s="34">
        <f>'raw data'!K30</f>
        <v>-0.38014339735334968</v>
      </c>
      <c r="D23" s="34">
        <f>'raw data'!L30</f>
        <v>4.4440316915520155</v>
      </c>
      <c r="E23" s="34">
        <f>'raw data'!M30</f>
        <v>0.65706132020704189</v>
      </c>
      <c r="F23" s="1">
        <v>89.75</v>
      </c>
    </row>
    <row r="24" spans="1:6" x14ac:dyDescent="0.2">
      <c r="A24" s="20">
        <f t="shared" si="0"/>
        <v>2003.75</v>
      </c>
      <c r="B24" s="34">
        <f>'raw data'!J31</f>
        <v>1.0236441542742503</v>
      </c>
      <c r="C24" s="34">
        <f>'raw data'!K31</f>
        <v>-0.47331043992783206</v>
      </c>
      <c r="D24" s="34">
        <f>'raw data'!L31</f>
        <v>4.512339174822424</v>
      </c>
      <c r="E24" s="34">
        <f>'raw data'!M31</f>
        <v>0.54115609969027645</v>
      </c>
      <c r="F24" s="1">
        <v>91.02</v>
      </c>
    </row>
    <row r="25" spans="1:6" x14ac:dyDescent="0.2">
      <c r="A25" s="20">
        <f t="shared" si="0"/>
        <v>2004</v>
      </c>
      <c r="B25" s="34">
        <f>'raw data'!J32</f>
        <v>-0.72380406425762711</v>
      </c>
      <c r="C25" s="34">
        <f>'raw data'!K32</f>
        <v>-0.56707521288876794</v>
      </c>
      <c r="D25" s="34">
        <f>'raw data'!L32</f>
        <v>4.5479820526710144</v>
      </c>
      <c r="E25" s="34">
        <f>'raw data'!M32</f>
        <v>2.0843901306367485</v>
      </c>
      <c r="F25" s="1">
        <v>92.7</v>
      </c>
    </row>
    <row r="26" spans="1:6" x14ac:dyDescent="0.2">
      <c r="A26" s="20">
        <f t="shared" si="0"/>
        <v>2004.25</v>
      </c>
      <c r="B26" s="34">
        <f>'raw data'!J33</f>
        <v>-0.59913409781647831</v>
      </c>
      <c r="C26" s="34">
        <f>'raw data'!K33</f>
        <v>-0.36937124542135713</v>
      </c>
      <c r="D26" s="34">
        <f>'raw data'!L33</f>
        <v>4.4965949446201998</v>
      </c>
      <c r="E26" s="34">
        <f>'raw data'!M33</f>
        <v>1.9041699560981229</v>
      </c>
      <c r="F26" s="1">
        <v>94.34</v>
      </c>
    </row>
    <row r="27" spans="1:6" x14ac:dyDescent="0.2">
      <c r="A27" s="20">
        <f t="shared" si="0"/>
        <v>2004.5</v>
      </c>
      <c r="B27" s="34">
        <f>'raw data'!J34</f>
        <v>-2.7504577025871946E-2</v>
      </c>
      <c r="C27" s="34">
        <f>'raw data'!K34</f>
        <v>-0.3977566661271803</v>
      </c>
      <c r="D27" s="34">
        <f>'raw data'!L34</f>
        <v>4.4872598925780434</v>
      </c>
      <c r="E27" s="34">
        <f>'raw data'!M34</f>
        <v>2.5844841670926044</v>
      </c>
      <c r="F27" s="1">
        <v>93.34</v>
      </c>
    </row>
    <row r="28" spans="1:6" x14ac:dyDescent="0.2">
      <c r="A28" s="20">
        <f t="shared" si="0"/>
        <v>2004.75</v>
      </c>
      <c r="B28" s="34">
        <f>'raw data'!J35</f>
        <v>0.91654038168444973</v>
      </c>
      <c r="C28" s="34">
        <f>'raw data'!K35</f>
        <v>-0.29325364212183791</v>
      </c>
      <c r="D28" s="34">
        <f>'raw data'!L35</f>
        <v>4.5121081636061788</v>
      </c>
      <c r="E28" s="34">
        <f>'raw data'!M35</f>
        <v>1.6092431203929891</v>
      </c>
      <c r="F28" s="1">
        <v>93.32</v>
      </c>
    </row>
    <row r="29" spans="1:6" x14ac:dyDescent="0.2">
      <c r="A29" s="20">
        <f t="shared" si="0"/>
        <v>2005</v>
      </c>
      <c r="B29" s="34">
        <f>'raw data'!J36</f>
        <v>-0.90520196553567356</v>
      </c>
      <c r="C29" s="34">
        <f>'raw data'!K36</f>
        <v>-9.5255751792111543E-2</v>
      </c>
      <c r="D29" s="34">
        <f>'raw data'!L36</f>
        <v>4.5183424635778504</v>
      </c>
      <c r="E29" s="34">
        <f>'raw data'!M36</f>
        <v>0.11306960126162835</v>
      </c>
      <c r="F29" s="1">
        <v>94.33</v>
      </c>
    </row>
    <row r="30" spans="1:6" x14ac:dyDescent="0.2">
      <c r="A30" s="20">
        <f t="shared" si="0"/>
        <v>2005.25</v>
      </c>
      <c r="B30" s="34">
        <f>'raw data'!J37</f>
        <v>-0.748159905384993</v>
      </c>
      <c r="C30" s="34">
        <f>'raw data'!K37</f>
        <v>-0.19540651602829584</v>
      </c>
      <c r="D30" s="34">
        <f>'raw data'!L37</f>
        <v>4.5244456521700247</v>
      </c>
      <c r="E30" s="34">
        <f>'raw data'!M37</f>
        <v>1.647122106296095</v>
      </c>
      <c r="F30" s="1">
        <v>94.56</v>
      </c>
    </row>
    <row r="31" spans="1:6" x14ac:dyDescent="0.2">
      <c r="A31" s="20">
        <f t="shared" si="0"/>
        <v>2005.5</v>
      </c>
      <c r="B31" s="34">
        <f>'raw data'!J38</f>
        <v>-5.560124597298044E-2</v>
      </c>
      <c r="C31" s="34">
        <f>'raw data'!K38</f>
        <v>2.3730580576786231E-2</v>
      </c>
      <c r="D31" s="34">
        <f>'raw data'!L38</f>
        <v>4.5814857490904499</v>
      </c>
      <c r="E31" s="34">
        <f>'raw data'!M38</f>
        <v>2.402232505097146</v>
      </c>
      <c r="F31" s="1">
        <v>94.85</v>
      </c>
    </row>
    <row r="32" spans="1:6" x14ac:dyDescent="0.2">
      <c r="A32" s="20">
        <f t="shared" si="0"/>
        <v>2005.75</v>
      </c>
      <c r="B32" s="34">
        <f>'raw data'!J39</f>
        <v>1.2356798716251838</v>
      </c>
      <c r="C32" s="34">
        <f>'raw data'!K39</f>
        <v>0.2386327419723111</v>
      </c>
      <c r="D32" s="34">
        <f>'raw data'!L39</f>
        <v>4.6415606408083914</v>
      </c>
      <c r="E32" s="34">
        <f>'raw data'!M39</f>
        <v>1.1951607315237922</v>
      </c>
      <c r="F32" s="1">
        <v>95.91</v>
      </c>
    </row>
    <row r="33" spans="1:6" x14ac:dyDescent="0.2">
      <c r="A33" s="20">
        <f t="shared" si="0"/>
        <v>2006</v>
      </c>
      <c r="B33" s="34">
        <f>'raw data'!J40</f>
        <v>-0.24433908131679116</v>
      </c>
      <c r="C33" s="34">
        <f>'raw data'!K40</f>
        <v>0.1962615354936359</v>
      </c>
      <c r="D33" s="34">
        <f>'raw data'!L40</f>
        <v>4.630110802937434</v>
      </c>
      <c r="E33" s="34">
        <f>'raw data'!M40</f>
        <v>0.90030618502421333</v>
      </c>
      <c r="F33" s="1">
        <v>97.69</v>
      </c>
    </row>
    <row r="34" spans="1:6" x14ac:dyDescent="0.2">
      <c r="A34" s="20">
        <f t="shared" si="0"/>
        <v>2006.25</v>
      </c>
      <c r="B34" s="34">
        <f>'raw data'!J41</f>
        <v>-4.8793479922737415E-2</v>
      </c>
      <c r="C34" s="34">
        <f>'raw data'!K41</f>
        <v>0.45741190522297082</v>
      </c>
      <c r="D34" s="34">
        <f>'raw data'!L41</f>
        <v>4.6159135557040072</v>
      </c>
      <c r="E34" s="34">
        <f>'raw data'!M41</f>
        <v>2.0545421178542966</v>
      </c>
      <c r="F34" s="1">
        <v>102.37</v>
      </c>
    </row>
    <row r="35" spans="1:6" x14ac:dyDescent="0.2">
      <c r="A35" s="20">
        <f t="shared" si="0"/>
        <v>2006.5</v>
      </c>
      <c r="B35" s="34">
        <f>'raw data'!J42</f>
        <v>1.4952696742727811</v>
      </c>
      <c r="C35" s="34">
        <f>'raw data'!K42</f>
        <v>0.82807298820217756</v>
      </c>
      <c r="D35" s="34">
        <f>'raw data'!L42</f>
        <v>4.5867174798162198</v>
      </c>
      <c r="E35" s="34">
        <f>'raw data'!M42</f>
        <v>1.3521678331978038</v>
      </c>
      <c r="F35" s="1">
        <v>105.37</v>
      </c>
    </row>
    <row r="36" spans="1:6" x14ac:dyDescent="0.2">
      <c r="A36" s="20">
        <f t="shared" si="0"/>
        <v>2006.75</v>
      </c>
      <c r="B36" s="34">
        <f>'raw data'!J43</f>
        <v>0.88984509028209313</v>
      </c>
      <c r="C36" s="34">
        <f>'raw data'!K43</f>
        <v>0.2482682003002612</v>
      </c>
      <c r="D36" s="34">
        <f>'raw data'!L43</f>
        <v>4.5929341536922665</v>
      </c>
      <c r="E36" s="34">
        <f>'raw data'!M43</f>
        <v>2.1123629262650212</v>
      </c>
      <c r="F36" s="1">
        <v>105.11</v>
      </c>
    </row>
    <row r="37" spans="1:6" x14ac:dyDescent="0.2">
      <c r="A37" s="20">
        <f t="shared" si="0"/>
        <v>2007</v>
      </c>
      <c r="B37" s="34">
        <f>'raw data'!J44</f>
        <v>-0.33412870294934338</v>
      </c>
      <c r="C37" s="34">
        <f>'raw data'!K44</f>
        <v>0.55300437659728807</v>
      </c>
      <c r="D37" s="34">
        <f>'raw data'!L44</f>
        <v>4.5652931360711504</v>
      </c>
      <c r="E37" s="34">
        <f>'raw data'!M44</f>
        <v>1.0208330314492642</v>
      </c>
      <c r="F37" s="1">
        <v>100.46</v>
      </c>
    </row>
    <row r="38" spans="1:6" x14ac:dyDescent="0.2">
      <c r="A38" s="20">
        <f t="shared" si="0"/>
        <v>2007.25</v>
      </c>
      <c r="B38" s="34">
        <f>'raw data'!J45</f>
        <v>-1.8144862901924186</v>
      </c>
      <c r="C38" s="34">
        <f>'raw data'!K45</f>
        <v>0.64206819330436815</v>
      </c>
      <c r="D38" s="34">
        <f>'raw data'!L45</f>
        <v>4.5719581588367513</v>
      </c>
      <c r="E38" s="34">
        <f>'raw data'!M45</f>
        <v>1.0115673542625103</v>
      </c>
      <c r="F38" s="1">
        <v>105.52</v>
      </c>
    </row>
    <row r="39" spans="1:6" x14ac:dyDescent="0.2">
      <c r="A39" s="20">
        <f t="shared" si="0"/>
        <v>2007.5</v>
      </c>
      <c r="B39" s="34">
        <f>'raw data'!J46</f>
        <v>-0.76391004543244767</v>
      </c>
      <c r="C39" s="34">
        <f>'raw data'!K46</f>
        <v>0.63295368535440932</v>
      </c>
      <c r="D39" s="34">
        <f>'raw data'!L46</f>
        <v>4.5853702956086506</v>
      </c>
      <c r="E39" s="34">
        <f>'raw data'!M46</f>
        <v>0.27454794085617351</v>
      </c>
      <c r="F39" s="1">
        <v>104.94</v>
      </c>
    </row>
    <row r="40" spans="1:6" x14ac:dyDescent="0.2">
      <c r="A40" s="20">
        <f t="shared" si="0"/>
        <v>2007.75</v>
      </c>
      <c r="B40" s="34">
        <f>'raw data'!J47</f>
        <v>0.35875636396220933</v>
      </c>
      <c r="C40" s="34">
        <f>'raw data'!K47</f>
        <v>0.48489048952440328</v>
      </c>
      <c r="D40" s="34">
        <f>'raw data'!L47</f>
        <v>4.5970978016319783</v>
      </c>
      <c r="E40" s="34">
        <f>'raw data'!M47</f>
        <v>1.8622914133837654</v>
      </c>
      <c r="F40" s="1">
        <v>104.04</v>
      </c>
    </row>
    <row r="41" spans="1:6" x14ac:dyDescent="0.2">
      <c r="A41" s="20">
        <f t="shared" si="0"/>
        <v>2008</v>
      </c>
      <c r="B41" s="34">
        <f>'raw data'!J48</f>
        <v>-0.71182059514713902</v>
      </c>
      <c r="C41" s="34">
        <f>'raw data'!K48</f>
        <v>1.1773773909151686E-3</v>
      </c>
      <c r="D41" s="34">
        <f>'raw data'!L48</f>
        <v>4.6625480956000596</v>
      </c>
      <c r="E41" s="34">
        <f>'raw data'!M48</f>
        <v>2.0853897053095594</v>
      </c>
      <c r="F41" s="1">
        <v>101.09</v>
      </c>
    </row>
    <row r="42" spans="1:6" x14ac:dyDescent="0.2">
      <c r="A42" s="20">
        <f t="shared" si="0"/>
        <v>2008.25</v>
      </c>
      <c r="B42" s="34">
        <f>'raw data'!J49</f>
        <v>-1.7239488338485209</v>
      </c>
      <c r="C42" s="34">
        <f>'raw data'!K49</f>
        <v>-0.34522332349261609</v>
      </c>
      <c r="D42" s="34">
        <f>'raw data'!L49</f>
        <v>4.6352459377956379</v>
      </c>
      <c r="E42" s="34">
        <f>'raw data'!M49</f>
        <v>9.8671848216902447E-2</v>
      </c>
      <c r="F42" s="1">
        <v>104.22</v>
      </c>
    </row>
    <row r="43" spans="1:6" x14ac:dyDescent="0.2">
      <c r="A43" s="20">
        <f t="shared" si="0"/>
        <v>2008.5</v>
      </c>
      <c r="B43" s="34">
        <f>'raw data'!J50</f>
        <v>0.43338644385153557</v>
      </c>
      <c r="C43" s="34">
        <f>'raw data'!K50</f>
        <v>0.13471249418548492</v>
      </c>
      <c r="D43" s="34">
        <f>'raw data'!L50</f>
        <v>4.5704199839567865</v>
      </c>
      <c r="E43" s="34">
        <f>'raw data'!M50</f>
        <v>-0.81823182024862717</v>
      </c>
      <c r="F43" s="1">
        <v>102.38</v>
      </c>
    </row>
    <row r="44" spans="1:6" x14ac:dyDescent="0.2">
      <c r="A44" s="20">
        <f t="shared" si="0"/>
        <v>2008.75</v>
      </c>
      <c r="B44" s="34">
        <f>'raw data'!J51</f>
        <v>4.590300572623085</v>
      </c>
      <c r="C44" s="34">
        <f>'raw data'!K51</f>
        <v>0.12274747485545578</v>
      </c>
      <c r="D44" s="34">
        <f>'raw data'!L51</f>
        <v>4.4717151385595146</v>
      </c>
      <c r="E44" s="34">
        <f>'raw data'!M51</f>
        <v>-0.80628595467313602</v>
      </c>
      <c r="F44" s="1">
        <v>93.96</v>
      </c>
    </row>
    <row r="45" spans="1:6" x14ac:dyDescent="0.2">
      <c r="A45" s="20">
        <f t="shared" si="0"/>
        <v>2009</v>
      </c>
      <c r="B45" s="34">
        <f>'raw data'!J52</f>
        <v>1.7356539513271763</v>
      </c>
      <c r="C45" s="34">
        <f>'raw data'!K52</f>
        <v>0.22906187385989263</v>
      </c>
      <c r="D45" s="34">
        <f>'raw data'!L52</f>
        <v>4.5373138112746023</v>
      </c>
      <c r="E45" s="34">
        <f>'raw data'!M52</f>
        <v>-0.48755131630731086</v>
      </c>
      <c r="F45" s="1">
        <v>88.56</v>
      </c>
    </row>
    <row r="46" spans="1:6" x14ac:dyDescent="0.2">
      <c r="A46" s="20">
        <f t="shared" si="0"/>
        <v>2009.25</v>
      </c>
      <c r="B46" s="34">
        <f>'raw data'!J53</f>
        <v>0.55392430213170307</v>
      </c>
      <c r="C46" s="34">
        <f>'raw data'!K53</f>
        <v>-6.4621103199280494E-2</v>
      </c>
      <c r="D46" s="34">
        <f>'raw data'!L53</f>
        <v>4.5581413296080475</v>
      </c>
      <c r="E46" s="34">
        <f>'raw data'!M53</f>
        <v>-0.5840609561426291</v>
      </c>
      <c r="F46" s="1">
        <v>94.15</v>
      </c>
    </row>
    <row r="47" spans="1:6" x14ac:dyDescent="0.2">
      <c r="A47" s="20">
        <f t="shared" si="0"/>
        <v>2009.5</v>
      </c>
      <c r="B47" s="34">
        <f>'raw data'!J54</f>
        <v>-6.8017875671555483E-2</v>
      </c>
      <c r="C47" s="34">
        <f>'raw data'!K54</f>
        <v>-0.2884569231495715</v>
      </c>
      <c r="D47" s="34">
        <f>'raw data'!L54</f>
        <v>4.5514464679488702</v>
      </c>
      <c r="E47" s="34">
        <f>'raw data'!M54</f>
        <v>1.1892925065149385</v>
      </c>
      <c r="F47" s="1">
        <v>96.38</v>
      </c>
    </row>
    <row r="48" spans="1:6" x14ac:dyDescent="0.2">
      <c r="A48" s="20">
        <f t="shared" si="0"/>
        <v>2009.75</v>
      </c>
      <c r="B48" s="34">
        <f>'raw data'!J55</f>
        <v>-0.22537366044368401</v>
      </c>
      <c r="C48" s="34">
        <f>'raw data'!K55</f>
        <v>-0.25709606285444497</v>
      </c>
      <c r="D48" s="34">
        <f>'raw data'!L55</f>
        <v>4.5738717240067519</v>
      </c>
      <c r="E48" s="34">
        <f>'raw data'!M55</f>
        <v>1.2225211757744603</v>
      </c>
      <c r="F48" s="1">
        <v>99.22</v>
      </c>
    </row>
    <row r="49" spans="1:6" x14ac:dyDescent="0.2">
      <c r="A49" s="20">
        <f t="shared" si="0"/>
        <v>2010</v>
      </c>
      <c r="B49" s="34">
        <f>'raw data'!J56</f>
        <v>-0.722293760562287</v>
      </c>
      <c r="C49" s="34">
        <f>'raw data'!K56</f>
        <v>-0.45763572838993793</v>
      </c>
      <c r="D49" s="34">
        <f>'raw data'!L56</f>
        <v>4.588632971810549</v>
      </c>
      <c r="E49" s="34">
        <f>'raw data'!M56</f>
        <v>0.32297656603326175</v>
      </c>
      <c r="F49" s="1">
        <v>102.17</v>
      </c>
    </row>
    <row r="50" spans="1:6" x14ac:dyDescent="0.2">
      <c r="A50" s="20">
        <f t="shared" si="0"/>
        <v>2010.25</v>
      </c>
      <c r="B50" s="34">
        <f>'raw data'!J57</f>
        <v>-0.46711551633453752</v>
      </c>
      <c r="C50" s="34">
        <f>'raw data'!K57</f>
        <v>-0.26412535361249878</v>
      </c>
      <c r="D50" s="34">
        <f>'raw data'!L57</f>
        <v>4.5864859383329195</v>
      </c>
      <c r="E50" s="34">
        <f>'raw data'!M57</f>
        <v>3.3371112249607648</v>
      </c>
      <c r="F50" s="1">
        <v>103.24</v>
      </c>
    </row>
    <row r="51" spans="1:6" x14ac:dyDescent="0.2">
      <c r="A51" s="20">
        <f t="shared" si="0"/>
        <v>2010.5</v>
      </c>
      <c r="B51" s="34">
        <f>'raw data'!J58</f>
        <v>0.18454908174070361</v>
      </c>
      <c r="C51" s="34">
        <f>'raw data'!K58</f>
        <v>-0.54197875198614964</v>
      </c>
      <c r="D51" s="34">
        <f>'raw data'!L58</f>
        <v>4.6090716768233984</v>
      </c>
      <c r="E51" s="34">
        <f>'raw data'!M58</f>
        <v>2.3202547293637465</v>
      </c>
      <c r="F51" s="1">
        <v>100.91</v>
      </c>
    </row>
    <row r="52" spans="1:6" x14ac:dyDescent="0.2">
      <c r="A52" s="20">
        <f t="shared" si="0"/>
        <v>2010.75</v>
      </c>
      <c r="B52" s="34">
        <f>'raw data'!J59</f>
        <v>3.150700835627962E-2</v>
      </c>
      <c r="C52" s="34">
        <f>'raw data'!K59</f>
        <v>-0.47838110238112019</v>
      </c>
      <c r="D52" s="34">
        <f>'raw data'!L59</f>
        <v>4.6357021967491718</v>
      </c>
      <c r="E52" s="34">
        <f>'raw data'!M59</f>
        <v>1.1828421165805736</v>
      </c>
      <c r="F52" s="1">
        <v>104.22</v>
      </c>
    </row>
    <row r="53" spans="1:6" x14ac:dyDescent="0.2">
      <c r="A53" s="20">
        <f t="shared" si="0"/>
        <v>2011</v>
      </c>
      <c r="B53" s="34">
        <f>'raw data'!J60</f>
        <v>-0.2551102707120112</v>
      </c>
      <c r="C53" s="34">
        <f>'raw data'!K60</f>
        <v>-0.62205011739768779</v>
      </c>
      <c r="D53" s="34">
        <f>'raw data'!L60</f>
        <v>4.6252314398396974</v>
      </c>
      <c r="E53" s="34">
        <f>'raw data'!M60</f>
        <v>1.1589142259293084</v>
      </c>
      <c r="F53" s="1">
        <v>106.03</v>
      </c>
    </row>
    <row r="54" spans="1:6" x14ac:dyDescent="0.2">
      <c r="A54" s="20">
        <f t="shared" si="0"/>
        <v>2011.25</v>
      </c>
      <c r="B54" s="34">
        <f>'raw data'!J61</f>
        <v>0.64837462957096914</v>
      </c>
      <c r="C54" s="34">
        <f>'raw data'!K61</f>
        <v>-0.6011688513630653</v>
      </c>
      <c r="D54" s="34">
        <f>'raw data'!L61</f>
        <v>4.6261847483783525</v>
      </c>
      <c r="E54" s="34">
        <f>'raw data'!M61</f>
        <v>1.4265799866063134</v>
      </c>
      <c r="F54" s="1">
        <v>104.69</v>
      </c>
    </row>
    <row r="55" spans="1:6" x14ac:dyDescent="0.2">
      <c r="A55" s="20">
        <f t="shared" si="0"/>
        <v>2011.5</v>
      </c>
      <c r="B55" s="34">
        <f>'raw data'!J62</f>
        <v>4.0239225275873203E-2</v>
      </c>
      <c r="C55" s="34">
        <f>'raw data'!K62</f>
        <v>-0.11447203874286327</v>
      </c>
      <c r="D55" s="34">
        <f>'raw data'!L62</f>
        <v>4.6233575679816905</v>
      </c>
      <c r="E55" s="34">
        <f>'raw data'!M62</f>
        <v>0.63934071849089946</v>
      </c>
      <c r="F55" s="1">
        <v>104.64</v>
      </c>
    </row>
    <row r="56" spans="1:6" x14ac:dyDescent="0.2">
      <c r="A56" s="20">
        <f t="shared" si="0"/>
        <v>2011.75</v>
      </c>
      <c r="B56" s="34">
        <f>'raw data'!J63</f>
        <v>0.34501051947506411</v>
      </c>
      <c r="C56" s="34">
        <f>'raw data'!K63</f>
        <v>-0.59839740967112531</v>
      </c>
      <c r="D56" s="34">
        <f>'raw data'!L63</f>
        <v>4.5731953993835317</v>
      </c>
      <c r="E56" s="34">
        <f>'raw data'!M63</f>
        <v>2.1515457706778207</v>
      </c>
      <c r="F56" s="1">
        <v>99.5</v>
      </c>
    </row>
    <row r="57" spans="1:6" x14ac:dyDescent="0.2">
      <c r="A57" s="20">
        <f t="shared" si="0"/>
        <v>2012</v>
      </c>
      <c r="B57" s="34">
        <f>'raw data'!J64</f>
        <v>1.0054401337752816</v>
      </c>
      <c r="C57" s="34">
        <f>'raw data'!K64</f>
        <v>-0.3839961255565183</v>
      </c>
      <c r="D57" s="34">
        <f>'raw data'!L64</f>
        <v>4.620676003478887</v>
      </c>
      <c r="E57" s="34">
        <f>'raw data'!M64</f>
        <v>2.0344774230188989</v>
      </c>
      <c r="F57" s="1">
        <v>100.73</v>
      </c>
    </row>
    <row r="58" spans="1:6" x14ac:dyDescent="0.2">
      <c r="A58" s="20">
        <f t="shared" si="0"/>
        <v>2012.25</v>
      </c>
      <c r="B58" s="34">
        <f>'raw data'!J65</f>
        <v>1.0481022969389908</v>
      </c>
      <c r="C58" s="34">
        <f>'raw data'!K65</f>
        <v>-0.49225601198864544</v>
      </c>
      <c r="D58" s="34">
        <f>'raw data'!L65</f>
        <v>4.6187441792806929</v>
      </c>
      <c r="E58" s="34">
        <f>'raw data'!M65</f>
        <v>1.8365644341326259</v>
      </c>
      <c r="F58" s="1">
        <v>101.01</v>
      </c>
    </row>
    <row r="59" spans="1:6" x14ac:dyDescent="0.2">
      <c r="A59" s="20">
        <f t="shared" si="0"/>
        <v>2012.5</v>
      </c>
      <c r="B59" s="34">
        <f>'raw data'!J66</f>
        <v>0.38121790411898004</v>
      </c>
      <c r="C59" s="34">
        <f>'raw data'!K66</f>
        <v>-0.47802368628695469</v>
      </c>
      <c r="D59" s="34">
        <f>'raw data'!L66</f>
        <v>4.6476126276629568</v>
      </c>
      <c r="E59" s="34">
        <f>'raw data'!M66</f>
        <v>0.77413030873518807</v>
      </c>
      <c r="F59" s="1">
        <v>100.02</v>
      </c>
    </row>
    <row r="60" spans="1:6" x14ac:dyDescent="0.2">
      <c r="A60" s="20">
        <f t="shared" si="0"/>
        <v>2012.75</v>
      </c>
      <c r="B60" s="34">
        <f>'raw data'!J67</f>
        <v>1.0176672439526691</v>
      </c>
      <c r="C60" s="34">
        <f>'raw data'!K67</f>
        <v>-0.37555254471757227</v>
      </c>
      <c r="D60" s="34">
        <f>'raw data'!L67</f>
        <v>4.647689959714369</v>
      </c>
      <c r="E60" s="34">
        <f>'raw data'!M67</f>
        <v>0.59188125809317427</v>
      </c>
      <c r="F60" s="1">
        <v>100.83</v>
      </c>
    </row>
    <row r="61" spans="1:6" x14ac:dyDescent="0.2">
      <c r="A61" s="20">
        <f t="shared" si="0"/>
        <v>2013</v>
      </c>
      <c r="B61" s="34">
        <f>'raw data'!J68</f>
        <v>1.2303044069295499</v>
      </c>
      <c r="C61" s="34">
        <f>'raw data'!K68</f>
        <v>-0.26137956509987292</v>
      </c>
      <c r="D61" s="34">
        <f>'raw data'!L68</f>
        <v>4.6545480327191981</v>
      </c>
      <c r="E61" s="34">
        <f>'raw data'!M68</f>
        <v>0.87890990189336549</v>
      </c>
      <c r="F61" s="1">
        <v>101.56</v>
      </c>
    </row>
    <row r="62" spans="1:6" x14ac:dyDescent="0.2">
      <c r="A62" s="20">
        <f t="shared" si="0"/>
        <v>2013.25</v>
      </c>
      <c r="B62" s="34">
        <f>'raw data'!J69</f>
        <v>0.1962405029030112</v>
      </c>
      <c r="C62" s="34">
        <f>'raw data'!K69</f>
        <v>-0.45547104772237779</v>
      </c>
      <c r="D62" s="34">
        <f>'raw data'!L69</f>
        <v>4.6341532786289141</v>
      </c>
      <c r="E62" s="34">
        <f>'raw data'!M69</f>
        <v>0.78374840084123321</v>
      </c>
      <c r="F62" s="1">
        <v>100.17</v>
      </c>
    </row>
    <row r="63" spans="1:6" x14ac:dyDescent="0.2">
      <c r="A63" s="20">
        <f t="shared" si="0"/>
        <v>2013.5</v>
      </c>
      <c r="B63" s="34">
        <f>'raw data'!J70</f>
        <v>0.15315987643065299</v>
      </c>
      <c r="C63" s="34">
        <f>'raw data'!K70</f>
        <v>-0.5840114640543459</v>
      </c>
      <c r="D63" s="34">
        <f>'raw data'!L70</f>
        <v>4.6030359524332107</v>
      </c>
      <c r="E63" s="34">
        <f>'raw data'!M70</f>
        <v>0.55237509671428597</v>
      </c>
      <c r="F63" s="1">
        <v>99.15</v>
      </c>
    </row>
    <row r="64" spans="1:6" x14ac:dyDescent="0.2">
      <c r="A64" s="20">
        <f t="shared" si="0"/>
        <v>2013.75</v>
      </c>
      <c r="B64" s="34">
        <f>'raw data'!J71</f>
        <v>-0.1861766697362488</v>
      </c>
      <c r="C64" s="34">
        <f>'raw data'!K71</f>
        <v>-0.39839424727488026</v>
      </c>
      <c r="D64" s="34">
        <f>'raw data'!L71</f>
        <v>4.5815033666287368</v>
      </c>
      <c r="E64" s="34">
        <f>'raw data'!M71</f>
        <v>0.4234030858611959</v>
      </c>
      <c r="F64" s="1">
        <v>99.89</v>
      </c>
    </row>
    <row r="65" spans="1:6" x14ac:dyDescent="0.2">
      <c r="A65" s="20">
        <f t="shared" si="0"/>
        <v>2014</v>
      </c>
      <c r="B65" s="34">
        <f>'raw data'!J72</f>
        <v>-0.53208681242468137</v>
      </c>
      <c r="C65" s="34">
        <f>'raw data'!K72</f>
        <v>-0.54955036543264946</v>
      </c>
      <c r="D65" s="34">
        <f>'raw data'!L72</f>
        <v>4.5331839477097517</v>
      </c>
      <c r="E65" s="34">
        <f>'raw data'!M72</f>
        <v>0.39170698704875662</v>
      </c>
      <c r="F65" s="1">
        <v>100.59</v>
      </c>
    </row>
    <row r="66" spans="1:6" x14ac:dyDescent="0.2">
      <c r="A66" s="20">
        <f t="shared" ref="A66:A98" si="1">+A65+0.25</f>
        <v>2014.25</v>
      </c>
      <c r="B66" s="34">
        <f>'raw data'!J73</f>
        <v>6.9137582144263021E-2</v>
      </c>
      <c r="C66" s="34">
        <f>'raw data'!K73</f>
        <v>-0.42524068389666603</v>
      </c>
      <c r="D66" s="34">
        <f>'raw data'!L73</f>
        <v>4.5276529784553281</v>
      </c>
      <c r="E66" s="34">
        <f>'raw data'!M73</f>
        <v>0.63824980912130513</v>
      </c>
      <c r="F66" s="1">
        <v>99.05</v>
      </c>
    </row>
    <row r="67" spans="1:6" x14ac:dyDescent="0.2">
      <c r="A67" s="20">
        <f t="shared" si="1"/>
        <v>2014.5</v>
      </c>
      <c r="B67" s="34">
        <f>'raw data'!J74</f>
        <v>-0.63669523170177822</v>
      </c>
      <c r="C67" s="34">
        <f>'raw data'!K74</f>
        <v>-0.15927149740450064</v>
      </c>
      <c r="D67" s="34">
        <f>'raw data'!L74</f>
        <v>4.5044007723633621</v>
      </c>
      <c r="E67" s="34">
        <f>'raw data'!M74</f>
        <v>-0.46950554383791143</v>
      </c>
      <c r="F67" s="1">
        <v>99.77</v>
      </c>
    </row>
    <row r="68" spans="1:6" x14ac:dyDescent="0.2">
      <c r="A68" s="20">
        <f t="shared" si="1"/>
        <v>2014.75</v>
      </c>
      <c r="B68" s="34">
        <f>'raw data'!J75</f>
        <v>0.52158015027725657</v>
      </c>
      <c r="C68" s="34">
        <f>'raw data'!K75</f>
        <v>4.1353486936168693E-2</v>
      </c>
      <c r="D68" s="34">
        <f>'raw data'!L75</f>
        <v>4.5163579165370127</v>
      </c>
      <c r="E68" s="34">
        <f>'raw data'!M75</f>
        <v>1.1571290116604516</v>
      </c>
      <c r="F68" s="1">
        <v>99.57</v>
      </c>
    </row>
    <row r="69" spans="1:6" x14ac:dyDescent="0.2">
      <c r="A69" s="20">
        <f t="shared" si="1"/>
        <v>2015</v>
      </c>
      <c r="B69" s="34">
        <f>'raw data'!J76</f>
        <v>-0.77112507722861823</v>
      </c>
      <c r="C69" s="34">
        <f>'raw data'!K76</f>
        <v>-0.53062196908796322</v>
      </c>
      <c r="D69" s="34">
        <f>'raw data'!L76</f>
        <v>4.5205153865806702</v>
      </c>
      <c r="E69" s="34">
        <f>'raw data'!M76</f>
        <v>0.77252142921757638</v>
      </c>
      <c r="F69" s="1">
        <v>100.58</v>
      </c>
    </row>
    <row r="70" spans="1:6" x14ac:dyDescent="0.2">
      <c r="A70" s="20">
        <f t="shared" si="1"/>
        <v>2015.25</v>
      </c>
      <c r="B70" s="34">
        <f>'raw data'!J77</f>
        <v>-0.68191132938935084</v>
      </c>
      <c r="C70" s="34">
        <f>'raw data'!K77</f>
        <v>-0.29183570681294846</v>
      </c>
      <c r="D70" s="34">
        <f>'raw data'!L77</f>
        <v>4.5459434322851289</v>
      </c>
      <c r="E70" s="34">
        <f>'raw data'!M77</f>
        <v>0.77954234049357751</v>
      </c>
      <c r="F70" s="1">
        <v>100.05</v>
      </c>
    </row>
    <row r="71" spans="1:6" x14ac:dyDescent="0.2">
      <c r="A71" s="20">
        <f t="shared" si="1"/>
        <v>2015.5</v>
      </c>
      <c r="B71" s="34">
        <f>'raw data'!J78</f>
        <v>-0.1734295040527023</v>
      </c>
      <c r="C71" s="34">
        <f>'raw data'!K78</f>
        <v>1.9011732998253095E-2</v>
      </c>
      <c r="D71" s="34">
        <f>'raw data'!L78</f>
        <v>4.4911490993168366</v>
      </c>
      <c r="E71" s="34">
        <f>'raw data'!M78</f>
        <v>-0.44200674157863773</v>
      </c>
      <c r="F71" s="1">
        <v>98.9</v>
      </c>
    </row>
    <row r="72" spans="1:6" x14ac:dyDescent="0.2">
      <c r="A72" s="20">
        <f t="shared" si="1"/>
        <v>2015.75</v>
      </c>
      <c r="B72" s="34">
        <f>'raw data'!J79</f>
        <v>5.1325845773830814E-2</v>
      </c>
      <c r="C72" s="34">
        <f>'raw data'!K79</f>
        <v>0.11110328174752659</v>
      </c>
      <c r="D72" s="34">
        <f>'raw data'!L79</f>
        <v>4.4846452802043713</v>
      </c>
      <c r="E72" s="34">
        <f>'raw data'!M79</f>
        <v>0.77169935416119273</v>
      </c>
      <c r="F72" s="1">
        <v>99.3</v>
      </c>
    </row>
    <row r="73" spans="1:6" x14ac:dyDescent="0.2">
      <c r="A73" s="20">
        <f t="shared" si="1"/>
        <v>2016</v>
      </c>
      <c r="B73" s="34">
        <f>'raw data'!J80</f>
        <v>-9.0007720220131038E-2</v>
      </c>
      <c r="C73" s="34">
        <f>'raw data'!K80</f>
        <v>-0.62814662301183821</v>
      </c>
      <c r="D73" s="34">
        <f>'raw data'!L80</f>
        <v>4.5011446319441308</v>
      </c>
      <c r="E73" s="34">
        <f>'raw data'!M80</f>
        <v>1.3507201287239923</v>
      </c>
      <c r="F73" s="1">
        <v>99.67</v>
      </c>
    </row>
    <row r="74" spans="1:6" x14ac:dyDescent="0.2">
      <c r="A74" s="20">
        <f t="shared" si="1"/>
        <v>2016.25</v>
      </c>
      <c r="B74" s="34">
        <f>'raw data'!J81</f>
        <v>0.13744082565858573</v>
      </c>
      <c r="C74" s="34">
        <f>'raw data'!K81</f>
        <v>-0.2124591838700951</v>
      </c>
      <c r="D74" s="34">
        <f>'raw data'!L81</f>
        <v>4.5131715126122698</v>
      </c>
      <c r="E74" s="34">
        <f>'raw data'!M81</f>
        <v>-0.70232006615764675</v>
      </c>
      <c r="F74" s="1">
        <v>100.28</v>
      </c>
    </row>
    <row r="75" spans="1:6" x14ac:dyDescent="0.2">
      <c r="A75" s="20">
        <f t="shared" si="1"/>
        <v>2016.5</v>
      </c>
      <c r="B75" s="34">
        <f>'raw data'!J82</f>
        <v>0.55109230323202585</v>
      </c>
      <c r="C75" s="34">
        <f>'raw data'!K82</f>
        <v>-0.44839170404782358</v>
      </c>
      <c r="D75" s="34">
        <f>'raw data'!L82</f>
        <v>4.5421835357614597</v>
      </c>
      <c r="E75" s="34">
        <f>'raw data'!M82</f>
        <v>0.57950540638085357</v>
      </c>
      <c r="F75" s="1">
        <v>100.02</v>
      </c>
    </row>
    <row r="76" spans="1:6" x14ac:dyDescent="0.2">
      <c r="A76" s="20">
        <f t="shared" si="1"/>
        <v>2016.75</v>
      </c>
      <c r="B76" s="34">
        <f>'raw data'!J83</f>
        <v>0.15237520631015133</v>
      </c>
      <c r="C76" s="34">
        <f>'raw data'!K83</f>
        <v>-0.39500434502709458</v>
      </c>
      <c r="D76" s="34">
        <f>'raw data'!L83</f>
        <v>4.557056187785002</v>
      </c>
      <c r="E76" s="34">
        <f>'raw data'!M83</f>
        <v>-0.11749869128507839</v>
      </c>
      <c r="F76" s="1">
        <v>98.92</v>
      </c>
    </row>
    <row r="77" spans="1:6" x14ac:dyDescent="0.2">
      <c r="A77" s="20">
        <f t="shared" si="1"/>
        <v>2017</v>
      </c>
      <c r="B77" s="34">
        <f>'raw data'!J84</f>
        <v>0.26139112973304623</v>
      </c>
      <c r="C77" s="34">
        <f>'raw data'!K84</f>
        <v>-0.17256758890531465</v>
      </c>
      <c r="D77" s="34">
        <f>'raw data'!L84</f>
        <v>4.5765984736868806</v>
      </c>
      <c r="E77" s="34">
        <f>'raw data'!M84</f>
        <v>-0.29041595802432596</v>
      </c>
      <c r="F77" s="1">
        <v>101.59</v>
      </c>
    </row>
    <row r="78" spans="1:6" x14ac:dyDescent="0.2">
      <c r="A78" s="20">
        <f t="shared" si="1"/>
        <v>2017.25</v>
      </c>
      <c r="B78" s="34">
        <f>'raw data'!J85</f>
        <v>0.5363468399500082</v>
      </c>
      <c r="C78" s="34">
        <f>'raw data'!K85</f>
        <v>-0.27309682843295047</v>
      </c>
      <c r="D78" s="34">
        <f>'raw data'!L85</f>
        <v>4.547719408911524</v>
      </c>
      <c r="E78" s="34">
        <f>'raw data'!M85</f>
        <v>0.95271066789255343</v>
      </c>
      <c r="F78" s="1">
        <v>101.37</v>
      </c>
    </row>
    <row r="79" spans="1:6" x14ac:dyDescent="0.2">
      <c r="A79" s="20">
        <f t="shared" si="1"/>
        <v>2017.5</v>
      </c>
      <c r="B79" s="34">
        <f>'raw data'!J86</f>
        <v>-4.6481661061104074E-2</v>
      </c>
      <c r="C79" s="34">
        <f>'raw data'!K86</f>
        <v>-0.44701097337986884</v>
      </c>
      <c r="D79" s="34">
        <f>'raw data'!L86</f>
        <v>4.5527701990740326</v>
      </c>
      <c r="E79" s="34">
        <f>'raw data'!M86</f>
        <v>1.8584606672558124</v>
      </c>
      <c r="F79" s="1">
        <v>102.58</v>
      </c>
    </row>
    <row r="80" spans="1:6" x14ac:dyDescent="0.2">
      <c r="A80" s="20">
        <f t="shared" si="1"/>
        <v>2017.75</v>
      </c>
      <c r="B80" s="34">
        <f>'raw data'!J87</f>
        <v>-6.6296924684072778E-2</v>
      </c>
      <c r="C80" s="34">
        <f>'raw data'!K87</f>
        <v>-0.24132402993853885</v>
      </c>
      <c r="D80" s="34">
        <f>'raw data'!L87</f>
        <v>4.5694316262882628</v>
      </c>
      <c r="E80" s="34">
        <f>'raw data'!M87</f>
        <v>0.72530716230332359</v>
      </c>
      <c r="F80" s="1">
        <v>103.47</v>
      </c>
    </row>
    <row r="81" spans="1:6" x14ac:dyDescent="0.2">
      <c r="A81" s="20">
        <f t="shared" si="1"/>
        <v>2018</v>
      </c>
      <c r="B81" s="34">
        <f>'raw data'!J88</f>
        <v>-5.5743890278758812E-2</v>
      </c>
      <c r="C81" s="34">
        <f>'raw data'!K88</f>
        <v>-0.49404942034640964</v>
      </c>
      <c r="D81" s="34">
        <f>'raw data'!L88</f>
        <v>4.595926381452724</v>
      </c>
      <c r="E81" s="34">
        <f>'raw data'!M88</f>
        <v>1.4100377809743492</v>
      </c>
      <c r="F81" s="1">
        <v>103.38</v>
      </c>
    </row>
    <row r="82" spans="1:6" x14ac:dyDescent="0.2">
      <c r="A82" s="20">
        <f t="shared" si="1"/>
        <v>2018.25</v>
      </c>
      <c r="B82" s="34">
        <f>'raw data'!J89</f>
        <v>-9.7657005533358099E-2</v>
      </c>
      <c r="C82" s="34">
        <f>'raw data'!K89</f>
        <v>0.12749401677698557</v>
      </c>
      <c r="D82" s="34">
        <f>'raw data'!L89</f>
        <v>4.5893473829661717</v>
      </c>
      <c r="E82" s="34">
        <f>'raw data'!M89</f>
        <v>1.0016778230461654</v>
      </c>
      <c r="F82" s="1">
        <v>103.11</v>
      </c>
    </row>
    <row r="83" spans="1:6" x14ac:dyDescent="0.2">
      <c r="A83" s="20">
        <f t="shared" si="1"/>
        <v>2018.5</v>
      </c>
      <c r="B83" s="34">
        <f>'raw data'!J90</f>
        <v>4.1601801283630557E-2</v>
      </c>
      <c r="C83" s="34">
        <f>'raw data'!K90</f>
        <v>-1.4628190799803598E-2</v>
      </c>
      <c r="D83" s="34">
        <f>'raw data'!L90</f>
        <v>4.5642140161949252</v>
      </c>
      <c r="E83" s="34">
        <f>'raw data'!M90</f>
        <v>-0.39948392517157316</v>
      </c>
      <c r="F83" s="1">
        <v>101.22</v>
      </c>
    </row>
    <row r="84" spans="1:6" x14ac:dyDescent="0.2">
      <c r="A84" s="20">
        <f t="shared" si="1"/>
        <v>2018.75</v>
      </c>
      <c r="B84" s="34">
        <f>'raw data'!J91</f>
        <v>0.47213460436053012</v>
      </c>
      <c r="C84" s="34">
        <f>'raw data'!K91</f>
        <v>0.26891492486840196</v>
      </c>
      <c r="D84" s="34">
        <f>'raw data'!L91</f>
        <v>4.5530282607173369</v>
      </c>
      <c r="E84" s="34">
        <f>'raw data'!M91</f>
        <v>1.1439605709005818</v>
      </c>
      <c r="F84" s="1">
        <v>100.6</v>
      </c>
    </row>
    <row r="85" spans="1:6" x14ac:dyDescent="0.2">
      <c r="A85" s="20">
        <f t="shared" si="1"/>
        <v>2019</v>
      </c>
      <c r="B85" s="34">
        <f>'raw data'!J92</f>
        <v>-0.26637593114877678</v>
      </c>
      <c r="C85" s="34">
        <f>'raw data'!K92</f>
        <v>2.0589397227510631E-2</v>
      </c>
      <c r="D85" s="34">
        <f>'raw data'!L92</f>
        <v>4.5606923821282717</v>
      </c>
      <c r="E85" s="34">
        <f>'raw data'!M92</f>
        <v>-1.68358281268155E-2</v>
      </c>
      <c r="F85" s="1">
        <v>101.17</v>
      </c>
    </row>
    <row r="86" spans="1:6" x14ac:dyDescent="0.2">
      <c r="A86" s="20">
        <f t="shared" si="1"/>
        <v>2019.25</v>
      </c>
      <c r="B86" s="34">
        <f>'raw data'!J93</f>
        <v>0.12732127148860073</v>
      </c>
      <c r="C86" s="34">
        <f>'raw data'!K93</f>
        <v>0.24418037106215262</v>
      </c>
      <c r="D86" s="34">
        <f>'raw data'!L93</f>
        <v>4.5476379767682751</v>
      </c>
      <c r="E86" s="34">
        <f>'raw data'!M93</f>
        <v>0.90140331532175821</v>
      </c>
      <c r="F86" s="1">
        <v>101.95</v>
      </c>
    </row>
    <row r="87" spans="1:6" x14ac:dyDescent="0.2">
      <c r="A87" s="20">
        <f t="shared" si="1"/>
        <v>2019.5</v>
      </c>
      <c r="B87" s="34">
        <f>'raw data'!J94</f>
        <v>-0.43208349525589718</v>
      </c>
      <c r="C87" s="34">
        <f>'raw data'!K94</f>
        <v>8.1949804630077061E-2</v>
      </c>
      <c r="D87" s="34">
        <f>'raw data'!L94</f>
        <v>4.5300298653484408</v>
      </c>
      <c r="E87" s="34">
        <f>'raw data'!M94</f>
        <v>0.26511419990562501</v>
      </c>
      <c r="F87" s="1">
        <v>101.47</v>
      </c>
    </row>
    <row r="88" spans="1:6" x14ac:dyDescent="0.2">
      <c r="A88" s="20">
        <f t="shared" si="1"/>
        <v>2019.75</v>
      </c>
      <c r="B88" s="34">
        <f>'raw data'!J95</f>
        <v>-0.61261358233007934</v>
      </c>
      <c r="C88" s="34">
        <f>'raw data'!K95</f>
        <v>6.657885243432915E-2</v>
      </c>
      <c r="D88" s="34">
        <f>'raw data'!L95</f>
        <v>4.4689722453393799</v>
      </c>
      <c r="E88" s="34">
        <f>'raw data'!M95</f>
        <v>-4.0303155138778024</v>
      </c>
      <c r="F88" s="1">
        <v>100.76</v>
      </c>
    </row>
    <row r="89" spans="1:6" x14ac:dyDescent="0.2">
      <c r="A89" s="20">
        <f t="shared" si="1"/>
        <v>2020</v>
      </c>
      <c r="B89" s="34">
        <f>'raw data'!J96</f>
        <v>9.9347208514233287E-2</v>
      </c>
      <c r="C89" s="34">
        <f>'raw data'!K96</f>
        <v>0.71016021924303896</v>
      </c>
      <c r="D89" s="34">
        <f>'raw data'!L96</f>
        <v>4.4182437246399902</v>
      </c>
      <c r="E89" s="34">
        <f>'raw data'!M96</f>
        <v>2.2770648535164639</v>
      </c>
      <c r="F89" s="1">
        <v>102.17</v>
      </c>
    </row>
    <row r="90" spans="1:6" x14ac:dyDescent="0.2">
      <c r="A90" s="20">
        <f t="shared" si="1"/>
        <v>2020.25</v>
      </c>
      <c r="B90" s="34">
        <f>'raw data'!J97</f>
        <v>-4.3234548290660424E-2</v>
      </c>
      <c r="C90" s="34">
        <f>'raw data'!K97</f>
        <v>-0.86430924142284482</v>
      </c>
      <c r="D90" s="34">
        <f>'raw data'!L97</f>
        <v>4.4298688139601357</v>
      </c>
      <c r="E90" s="34">
        <f>'raw data'!M97</f>
        <v>-13.840867408903712</v>
      </c>
      <c r="F90" s="1">
        <v>103.66</v>
      </c>
    </row>
    <row r="91" spans="1:6" x14ac:dyDescent="0.2">
      <c r="A91" s="20">
        <f t="shared" si="1"/>
        <v>2020.5</v>
      </c>
      <c r="B91" s="34">
        <f>'raw data'!J98</f>
        <v>-0.94427685526777827</v>
      </c>
      <c r="C91" s="34">
        <f>'raw data'!K98</f>
        <v>-0.45148699938201142</v>
      </c>
      <c r="D91" s="34">
        <f>'raw data'!L98</f>
        <v>4.4552054828844758</v>
      </c>
      <c r="E91" s="34">
        <f>'raw data'!M98</f>
        <v>5.1951818440498343</v>
      </c>
      <c r="F91" s="1">
        <v>104.76</v>
      </c>
    </row>
    <row r="92" spans="1:6" x14ac:dyDescent="0.2">
      <c r="A92" s="20">
        <f t="shared" si="1"/>
        <v>2020.75</v>
      </c>
      <c r="B92" s="34">
        <f>'raw data'!J99</f>
        <v>-0.98046529970445828</v>
      </c>
      <c r="C92" s="34">
        <f>'raw data'!K99</f>
        <v>-1.020476716975216</v>
      </c>
      <c r="D92" s="34">
        <f>'raw data'!L99</f>
        <v>4.4621052030447688</v>
      </c>
      <c r="E92" s="34">
        <f>'raw data'!M99</f>
        <v>6.4832457044772696</v>
      </c>
      <c r="F92" s="1">
        <v>104.98</v>
      </c>
    </row>
    <row r="93" spans="1:6" x14ac:dyDescent="0.2">
      <c r="A93" s="20">
        <f t="shared" si="1"/>
        <v>2021</v>
      </c>
      <c r="B93" s="34">
        <f>'raw data'!J100</f>
        <v>-0.82576223056970433</v>
      </c>
      <c r="C93" s="34">
        <f>'raw data'!K100</f>
        <v>-1.4766697413021279</v>
      </c>
      <c r="D93" s="34">
        <f>'raw data'!L100</f>
        <v>4.5050314814978778</v>
      </c>
      <c r="E93" s="34">
        <f>'raw data'!M100</f>
        <v>3.6870652011035787</v>
      </c>
      <c r="F93" s="1">
        <v>105.86</v>
      </c>
    </row>
    <row r="94" spans="1:6" x14ac:dyDescent="0.2">
      <c r="A94" s="20">
        <f t="shared" si="1"/>
        <v>2021.25</v>
      </c>
      <c r="B94" s="34">
        <f>'raw data'!J101</f>
        <v>-1.4787448518589486</v>
      </c>
      <c r="C94" s="34">
        <f>'raw data'!K101</f>
        <v>-1.4122469356175782</v>
      </c>
      <c r="D94" s="34">
        <f>'raw data'!L101</f>
        <v>4.5158186422852218</v>
      </c>
      <c r="E94" s="34">
        <f>'raw data'!M101</f>
        <v>1.3574152008875018</v>
      </c>
      <c r="F94" s="1">
        <v>108.01</v>
      </c>
    </row>
    <row r="95" spans="1:6" x14ac:dyDescent="0.2">
      <c r="A95" s="20">
        <f t="shared" si="1"/>
        <v>2021.5</v>
      </c>
      <c r="B95" s="34">
        <f>'raw data'!J102</f>
        <v>-2.4192060802069038</v>
      </c>
      <c r="C95" s="34">
        <f>'raw data'!K102</f>
        <v>-1.6842554955955769</v>
      </c>
      <c r="D95" s="34">
        <f>'raw data'!L102</f>
        <v>4.4566005323503006</v>
      </c>
      <c r="E95" s="34">
        <f>'raw data'!M102</f>
        <v>4.3433878254836245</v>
      </c>
      <c r="F95" s="1">
        <v>106.8</v>
      </c>
    </row>
    <row r="96" spans="1:6" x14ac:dyDescent="0.2">
      <c r="A96" s="20">
        <f t="shared" si="1"/>
        <v>2021.75</v>
      </c>
      <c r="B96" s="34">
        <f>'raw data'!J103</f>
        <v>-1.6915007462902643</v>
      </c>
      <c r="C96" s="34">
        <f>'raw data'!K103</f>
        <v>-1.9316536085143721</v>
      </c>
      <c r="D96" s="34">
        <f>'raw data'!L103</f>
        <v>4.4162885957625493</v>
      </c>
      <c r="E96" s="34">
        <f>'raw data'!M103</f>
        <v>1.7240915542725332</v>
      </c>
      <c r="F96" s="1">
        <v>105.18</v>
      </c>
    </row>
    <row r="97" spans="1:6" x14ac:dyDescent="0.2">
      <c r="A97" s="20">
        <f t="shared" si="1"/>
        <v>2022</v>
      </c>
      <c r="B97" s="34">
        <f>'raw data'!J104</f>
        <v>-2.1517509220191355</v>
      </c>
      <c r="C97" s="34">
        <f>'raw data'!K104</f>
        <v>-2.0046172202417778</v>
      </c>
      <c r="D97" s="34">
        <f>'raw data'!L104</f>
        <v>4.4455535547309148</v>
      </c>
      <c r="E97" s="34">
        <f>'raw data'!M104</f>
        <v>-0.56541589871397235</v>
      </c>
      <c r="F97" s="1">
        <v>105.16</v>
      </c>
    </row>
    <row r="98" spans="1:6" x14ac:dyDescent="0.2">
      <c r="A98" s="22">
        <f t="shared" si="1"/>
        <v>2022.25</v>
      </c>
      <c r="B98" s="34">
        <f>'raw data'!J105</f>
        <v>2.0917801184215268</v>
      </c>
      <c r="C98" s="34">
        <f>'raw data'!K105</f>
        <v>0.26808668159108429</v>
      </c>
      <c r="D98" s="34">
        <f>'raw data'!L105</f>
        <v>4.4471671941598725</v>
      </c>
      <c r="E98" s="34">
        <f>'raw data'!M105</f>
        <v>-7.0227441844039618E-3</v>
      </c>
      <c r="F98" s="1">
        <v>104.71</v>
      </c>
    </row>
    <row r="99" spans="1:6" x14ac:dyDescent="0.2">
      <c r="A99" s="3"/>
      <c r="B99" s="33"/>
      <c r="C99" s="33"/>
      <c r="D99" s="33"/>
      <c r="E99" s="33"/>
    </row>
    <row r="100" spans="1:6" x14ac:dyDescent="0.2">
      <c r="A100" s="3"/>
      <c r="B100" s="33"/>
      <c r="C100" s="33"/>
      <c r="D100" s="33"/>
      <c r="E100" s="33"/>
    </row>
    <row r="101" spans="1:6" x14ac:dyDescent="0.2">
      <c r="A101" s="3"/>
    </row>
    <row r="102" spans="1:6" x14ac:dyDescent="0.2">
      <c r="A102" s="3"/>
    </row>
    <row r="103" spans="1:6" x14ac:dyDescent="0.2">
      <c r="A103" s="3"/>
    </row>
    <row r="104" spans="1:6" x14ac:dyDescent="0.2">
      <c r="A104" s="3"/>
    </row>
    <row r="105" spans="1:6" x14ac:dyDescent="0.2">
      <c r="A105" s="3"/>
    </row>
    <row r="106" spans="1:6" x14ac:dyDescent="0.2">
      <c r="A106" s="3"/>
    </row>
    <row r="107" spans="1:6" x14ac:dyDescent="0.2">
      <c r="A107" s="3"/>
    </row>
    <row r="108" spans="1:6" x14ac:dyDescent="0.2">
      <c r="A108" s="3"/>
    </row>
    <row r="109" spans="1:6" x14ac:dyDescent="0.2">
      <c r="A109" s="3"/>
    </row>
    <row r="110" spans="1:6" x14ac:dyDescent="0.2">
      <c r="A110" s="3"/>
    </row>
    <row r="111" spans="1:6" x14ac:dyDescent="0.2">
      <c r="A111" s="3"/>
    </row>
    <row r="112" spans="1:6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F56A-F487-4A9A-9DC4-4A44C5342C4F}">
  <dimension ref="A1:P105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05" sqref="A8:A105"/>
    </sheetView>
  </sheetViews>
  <sheetFormatPr baseColWidth="10" defaultColWidth="11.5" defaultRowHeight="15" x14ac:dyDescent="0.2"/>
  <cols>
    <col min="1" max="1" width="11.5" style="2"/>
    <col min="2" max="13" width="13.5" style="1" customWidth="1"/>
    <col min="14" max="16384" width="11.5" style="1"/>
  </cols>
  <sheetData>
    <row r="1" spans="1:16" ht="32" x14ac:dyDescent="0.2">
      <c r="A1" s="16"/>
      <c r="B1" s="10" t="s">
        <v>34</v>
      </c>
      <c r="C1" s="10" t="s">
        <v>42</v>
      </c>
      <c r="D1" s="10" t="s">
        <v>43</v>
      </c>
      <c r="E1" s="10" t="s">
        <v>15</v>
      </c>
      <c r="F1" s="10" t="s">
        <v>17</v>
      </c>
      <c r="G1" s="10" t="s">
        <v>43</v>
      </c>
      <c r="H1" s="10" t="s">
        <v>41</v>
      </c>
      <c r="I1" s="10" t="s">
        <v>26</v>
      </c>
      <c r="J1" s="11" t="s">
        <v>19</v>
      </c>
      <c r="K1" s="11" t="s">
        <v>29</v>
      </c>
      <c r="L1" s="11" t="s">
        <v>36</v>
      </c>
      <c r="M1" s="11" t="s">
        <v>37</v>
      </c>
      <c r="N1" s="1" t="s">
        <v>44</v>
      </c>
      <c r="O1" s="1" t="s">
        <v>47</v>
      </c>
      <c r="P1" s="1" t="s">
        <v>48</v>
      </c>
    </row>
    <row r="2" spans="1:16" x14ac:dyDescent="0.2">
      <c r="A2" s="17" t="s">
        <v>8</v>
      </c>
      <c r="B2" s="12" t="s">
        <v>3</v>
      </c>
      <c r="C2" s="12" t="s">
        <v>0</v>
      </c>
      <c r="D2" s="12" t="s">
        <v>23</v>
      </c>
      <c r="E2" s="12" t="s">
        <v>1</v>
      </c>
      <c r="F2" s="12" t="s">
        <v>25</v>
      </c>
      <c r="G2" s="12" t="s">
        <v>24</v>
      </c>
      <c r="H2" s="12" t="s">
        <v>22</v>
      </c>
      <c r="I2" s="12" t="s">
        <v>27</v>
      </c>
      <c r="J2" s="12" t="s">
        <v>2</v>
      </c>
      <c r="K2" s="12" t="s">
        <v>28</v>
      </c>
      <c r="L2" s="12" t="s">
        <v>30</v>
      </c>
      <c r="M2" s="12" t="s">
        <v>38</v>
      </c>
      <c r="N2" s="1" t="s">
        <v>46</v>
      </c>
    </row>
    <row r="3" spans="1:16" x14ac:dyDescent="0.2">
      <c r="A3" s="17" t="s">
        <v>9</v>
      </c>
      <c r="B3" s="13" t="s">
        <v>6</v>
      </c>
      <c r="C3" s="13" t="s">
        <v>6</v>
      </c>
      <c r="D3" s="13" t="s">
        <v>6</v>
      </c>
      <c r="E3" s="13" t="s">
        <v>6</v>
      </c>
      <c r="F3" s="13" t="s">
        <v>6</v>
      </c>
      <c r="G3" s="13" t="s">
        <v>20</v>
      </c>
      <c r="H3" s="13" t="s">
        <v>20</v>
      </c>
      <c r="I3" s="13" t="s">
        <v>20</v>
      </c>
      <c r="J3" s="13" t="s">
        <v>6</v>
      </c>
      <c r="K3" s="13" t="s">
        <v>6</v>
      </c>
      <c r="L3" s="13" t="s">
        <v>6</v>
      </c>
      <c r="M3" s="13" t="s">
        <v>6</v>
      </c>
      <c r="N3" s="1" t="s">
        <v>6</v>
      </c>
    </row>
    <row r="4" spans="1:16" x14ac:dyDescent="0.2">
      <c r="A4" s="17" t="s">
        <v>10</v>
      </c>
      <c r="B4" s="13" t="s">
        <v>35</v>
      </c>
      <c r="C4" s="13" t="s">
        <v>13</v>
      </c>
      <c r="D4" s="13" t="s">
        <v>40</v>
      </c>
      <c r="E4" s="13" t="s">
        <v>13</v>
      </c>
      <c r="F4" s="13" t="s">
        <v>39</v>
      </c>
      <c r="G4" s="13" t="s">
        <v>40</v>
      </c>
      <c r="H4" s="13" t="s">
        <v>13</v>
      </c>
      <c r="I4" s="13" t="s">
        <v>39</v>
      </c>
      <c r="J4" s="13" t="s">
        <v>39</v>
      </c>
      <c r="K4" s="13" t="s">
        <v>39</v>
      </c>
      <c r="L4" s="13" t="s">
        <v>31</v>
      </c>
      <c r="M4" s="13" t="s">
        <v>39</v>
      </c>
      <c r="N4" s="1" t="s">
        <v>13</v>
      </c>
    </row>
    <row r="5" spans="1:16" x14ac:dyDescent="0.2">
      <c r="A5" s="17" t="s">
        <v>11</v>
      </c>
      <c r="B5" s="14" t="s">
        <v>7</v>
      </c>
      <c r="C5" s="14" t="s">
        <v>14</v>
      </c>
      <c r="D5" s="14" t="s">
        <v>7</v>
      </c>
      <c r="E5" s="14" t="s">
        <v>14</v>
      </c>
      <c r="F5" s="14" t="s">
        <v>18</v>
      </c>
      <c r="G5" s="14" t="s">
        <v>21</v>
      </c>
      <c r="H5" s="14" t="s">
        <v>14</v>
      </c>
      <c r="I5" s="14" t="s">
        <v>18</v>
      </c>
      <c r="J5" s="14" t="s">
        <v>18</v>
      </c>
      <c r="K5" s="14" t="s">
        <v>18</v>
      </c>
      <c r="L5" s="14" t="s">
        <v>18</v>
      </c>
      <c r="M5" s="14" t="s">
        <v>18</v>
      </c>
      <c r="N5" s="1" t="s">
        <v>45</v>
      </c>
    </row>
    <row r="6" spans="1:16" x14ac:dyDescent="0.2">
      <c r="A6" s="17" t="s">
        <v>12</v>
      </c>
      <c r="B6" s="14" t="s">
        <v>4</v>
      </c>
      <c r="C6" s="14" t="s">
        <v>4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4</v>
      </c>
      <c r="K6" s="14" t="s">
        <v>4</v>
      </c>
      <c r="L6" s="14" t="s">
        <v>4</v>
      </c>
      <c r="M6" s="14" t="s">
        <v>4</v>
      </c>
      <c r="N6" s="1" t="s">
        <v>16</v>
      </c>
    </row>
    <row r="7" spans="1:16" x14ac:dyDescent="0.2">
      <c r="A7" s="17" t="s">
        <v>32</v>
      </c>
      <c r="B7" s="15" t="s">
        <v>33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  <c r="H7" s="15" t="s">
        <v>33</v>
      </c>
      <c r="I7" s="15" t="s">
        <v>33</v>
      </c>
      <c r="J7" s="15" t="s">
        <v>5</v>
      </c>
      <c r="K7" s="15" t="s">
        <v>5</v>
      </c>
      <c r="L7" s="15" t="s">
        <v>5</v>
      </c>
      <c r="M7" s="15" t="s">
        <v>33</v>
      </c>
      <c r="N7" s="1" t="s">
        <v>5</v>
      </c>
    </row>
    <row r="8" spans="1:16" x14ac:dyDescent="0.2">
      <c r="A8" s="18">
        <v>1998</v>
      </c>
      <c r="B8" s="4">
        <v>22825.628879151998</v>
      </c>
      <c r="C8" s="9">
        <v>114.45691900897999</v>
      </c>
      <c r="D8" s="9">
        <v>17.253333333333298</v>
      </c>
      <c r="E8" s="9">
        <v>67.583917437110301</v>
      </c>
      <c r="F8" s="9"/>
      <c r="G8" s="7">
        <v>5.0533333333333337</v>
      </c>
      <c r="H8" s="7">
        <v>77.8756252088005</v>
      </c>
      <c r="I8" s="19"/>
      <c r="J8" s="27">
        <f t="shared" ref="J8:J39" si="0" xml:space="preserve"> 100 * ((1 + D8 * 0.01) ^ 0.25 / (1 + F9 * 0.01) - 1)</f>
        <v>3.1840034700346465</v>
      </c>
      <c r="K8" s="7">
        <f xml:space="preserve"> 100 * ((1 + G8 * 0.01) ^ 0.25 / (1 + I9 * 0.01) - 1)</f>
        <v>1.0018465683000022</v>
      </c>
      <c r="L8" s="7">
        <f>LN(C8)</f>
        <v>4.7401984989966195</v>
      </c>
      <c r="M8" s="28">
        <v>0.8033266861102506</v>
      </c>
      <c r="N8" s="1">
        <v>90.97</v>
      </c>
      <c r="O8" s="1">
        <v>0.24783949999999999</v>
      </c>
      <c r="P8" s="1">
        <v>-0.29898409999999997</v>
      </c>
    </row>
    <row r="9" spans="1:16" x14ac:dyDescent="0.2">
      <c r="A9" s="20">
        <f t="shared" ref="A9:A72" si="1">+A8+0.25</f>
        <v>1998.25</v>
      </c>
      <c r="B9" s="4">
        <v>23212.833162054001</v>
      </c>
      <c r="C9" s="5">
        <v>113.88618416936301</v>
      </c>
      <c r="D9" s="5">
        <v>15.11</v>
      </c>
      <c r="E9" s="5">
        <v>68.159724790367704</v>
      </c>
      <c r="F9" s="5">
        <f>100*(LN(E9)-LN(E8))</f>
        <v>0.84837978035752215</v>
      </c>
      <c r="G9" s="6">
        <v>4.9766666666666666</v>
      </c>
      <c r="H9" s="6">
        <v>78.059523862035107</v>
      </c>
      <c r="I9" s="21">
        <f>100*(LN(H9)-LN(H8))</f>
        <v>0.23586566542155296</v>
      </c>
      <c r="J9" s="29">
        <f t="shared" si="0"/>
        <v>2.4394773710177287</v>
      </c>
      <c r="K9" s="6">
        <f t="shared" ref="K9:K72" si="2" xml:space="preserve"> 100 * ((1 + G9 * 0.01) ^ 0.25 / (1 + I10 * 0.01) - 1)</f>
        <v>0.78940198938477479</v>
      </c>
      <c r="L9" s="6">
        <f t="shared" ref="L9:L72" si="3">LN(C9)</f>
        <v>4.7351995651974708</v>
      </c>
      <c r="M9" s="30">
        <f t="shared" ref="M9:M40" si="4" xml:space="preserve"> 100 * (LN(B9) - LN(B8))</f>
        <v>1.6821300966380903</v>
      </c>
      <c r="N9" s="1">
        <v>91.98</v>
      </c>
      <c r="O9" s="1">
        <v>1.450593</v>
      </c>
      <c r="P9" s="1">
        <v>1.0135350000000001</v>
      </c>
    </row>
    <row r="10" spans="1:16" x14ac:dyDescent="0.2">
      <c r="A10" s="20">
        <f t="shared" si="1"/>
        <v>1998.5</v>
      </c>
      <c r="B10" s="4">
        <v>23056.914012345002</v>
      </c>
      <c r="C10" s="5">
        <v>111.829601269457</v>
      </c>
      <c r="D10" s="5">
        <v>17.565000000000001</v>
      </c>
      <c r="E10" s="5">
        <v>68.923207912276894</v>
      </c>
      <c r="F10" s="5">
        <f t="shared" ref="F10:F73" si="5">100*(LN(E10)-LN(E9))</f>
        <v>1.1139111211629249</v>
      </c>
      <c r="G10" s="6">
        <v>4.8233333333333333</v>
      </c>
      <c r="H10" s="6">
        <v>78.394971327986696</v>
      </c>
      <c r="I10" s="21">
        <f t="shared" ref="I10:I73" si="6">100*(LN(H10)-LN(H9))</f>
        <v>0.42881219815518179</v>
      </c>
      <c r="J10" s="29">
        <f t="shared" si="0"/>
        <v>2.6024718575511585</v>
      </c>
      <c r="K10" s="6">
        <f xml:space="preserve"> 100 * ((1 + G10 * 0.01) ^ 0.25 / (1 + I11 * 0.01) - 1)</f>
        <v>0.90759658866730319</v>
      </c>
      <c r="L10" s="6">
        <f t="shared" si="3"/>
        <v>4.7169762955276777</v>
      </c>
      <c r="M10" s="30">
        <f t="shared" si="4"/>
        <v>-0.6739597659919383</v>
      </c>
      <c r="N10" s="1">
        <v>91.39</v>
      </c>
      <c r="O10" s="1">
        <v>0.88459209999999999</v>
      </c>
      <c r="P10" s="1">
        <v>-0.59053040000000001</v>
      </c>
    </row>
    <row r="11" spans="1:16" x14ac:dyDescent="0.2">
      <c r="A11" s="20">
        <f>+A10+0.25</f>
        <v>1998.75</v>
      </c>
      <c r="B11" s="4">
        <v>22310.621457834</v>
      </c>
      <c r="C11" s="5">
        <v>110.749110740031</v>
      </c>
      <c r="D11" s="5">
        <v>15.72</v>
      </c>
      <c r="E11" s="5">
        <v>69.955962158675604</v>
      </c>
      <c r="F11" s="5">
        <f>100*(LN(E11)-LN(E10))</f>
        <v>1.4872976031902851</v>
      </c>
      <c r="G11" s="6">
        <v>4.2533333333333339</v>
      </c>
      <c r="H11" s="6">
        <v>78.610483666218698</v>
      </c>
      <c r="I11" s="21">
        <f>100*(LN(H11)-LN(H10))</f>
        <v>0.27452864436137148</v>
      </c>
      <c r="J11" s="29">
        <f t="shared" si="0"/>
        <v>3.4107569479151723</v>
      </c>
      <c r="K11" s="6">
        <f t="shared" si="2"/>
        <v>0.72550674780613722</v>
      </c>
      <c r="L11" s="6">
        <f t="shared" si="3"/>
        <v>4.7072673794576225</v>
      </c>
      <c r="M11" s="30">
        <f t="shared" si="4"/>
        <v>-3.2902817986633082</v>
      </c>
      <c r="N11" s="1">
        <v>91.27</v>
      </c>
      <c r="O11" s="1">
        <v>0.83412439999999999</v>
      </c>
      <c r="P11" s="1">
        <v>-0.12191009999999999</v>
      </c>
    </row>
    <row r="12" spans="1:16" x14ac:dyDescent="0.2">
      <c r="A12" s="20">
        <f t="shared" si="1"/>
        <v>1999</v>
      </c>
      <c r="B12" s="4">
        <v>22314.903841849999</v>
      </c>
      <c r="C12" s="5">
        <v>110.385947442958</v>
      </c>
      <c r="D12" s="5">
        <v>11.293333333333299</v>
      </c>
      <c r="E12" s="5">
        <v>70.163788432595098</v>
      </c>
      <c r="F12" s="5">
        <f t="shared" si="5"/>
        <v>0.29664115935332802</v>
      </c>
      <c r="G12" s="6">
        <v>4.4066666666666672</v>
      </c>
      <c r="H12" s="6">
        <v>78.861620917762707</v>
      </c>
      <c r="I12" s="21">
        <f t="shared" si="6"/>
        <v>0.31896120918952775</v>
      </c>
      <c r="J12" s="29">
        <f t="shared" si="0"/>
        <v>1.7482146300228152</v>
      </c>
      <c r="K12" s="6">
        <f t="shared" si="2"/>
        <v>0.7032644268633037</v>
      </c>
      <c r="L12" s="6">
        <f t="shared" si="3"/>
        <v>4.7039828380868682</v>
      </c>
      <c r="M12" s="30">
        <f t="shared" si="4"/>
        <v>1.9192531630274345E-2</v>
      </c>
      <c r="N12" s="1">
        <v>90.55</v>
      </c>
      <c r="O12" s="1">
        <v>0.1157518</v>
      </c>
      <c r="P12" s="1">
        <v>-0.72332759999999996</v>
      </c>
    </row>
    <row r="13" spans="1:16" x14ac:dyDescent="0.2">
      <c r="A13" s="20">
        <f t="shared" si="1"/>
        <v>1999.25</v>
      </c>
      <c r="B13" s="4">
        <v>22375.787050715</v>
      </c>
      <c r="C13" s="5">
        <v>111.690439835742</v>
      </c>
      <c r="D13" s="5">
        <v>11.526666666666699</v>
      </c>
      <c r="E13" s="5">
        <v>70.830913781982403</v>
      </c>
      <c r="F13" s="5">
        <f t="shared" si="5"/>
        <v>0.94631970909686558</v>
      </c>
      <c r="G13" s="6">
        <v>4.4533333333333331</v>
      </c>
      <c r="H13" s="6">
        <v>79.1602765382396</v>
      </c>
      <c r="I13" s="21">
        <f t="shared" si="6"/>
        <v>0.37799315269753109</v>
      </c>
      <c r="J13" s="29">
        <f t="shared" si="0"/>
        <v>2.3465785447998933</v>
      </c>
      <c r="K13" s="6">
        <f t="shared" si="2"/>
        <v>0.73701935525849471</v>
      </c>
      <c r="L13" s="6">
        <f t="shared" si="3"/>
        <v>4.715731114549655</v>
      </c>
      <c r="M13" s="30">
        <f t="shared" si="4"/>
        <v>0.27246500474262803</v>
      </c>
      <c r="N13" s="1">
        <v>90.14</v>
      </c>
      <c r="O13" s="1">
        <v>-0.25859729999999997</v>
      </c>
      <c r="P13" s="1">
        <v>-0.4068909</v>
      </c>
    </row>
    <row r="14" spans="1:16" x14ac:dyDescent="0.2">
      <c r="A14" s="20">
        <f t="shared" si="1"/>
        <v>1999.5</v>
      </c>
      <c r="B14" s="4">
        <v>22847.809467943</v>
      </c>
      <c r="C14" s="5">
        <v>105.98687593799799</v>
      </c>
      <c r="D14" s="5">
        <v>9.8666666666666707</v>
      </c>
      <c r="E14" s="5">
        <v>71.120993334766695</v>
      </c>
      <c r="F14" s="5">
        <f t="shared" si="5"/>
        <v>0.40870173914511199</v>
      </c>
      <c r="G14" s="6">
        <v>4.6499999999999995</v>
      </c>
      <c r="H14" s="6">
        <v>79.442247247821498</v>
      </c>
      <c r="I14" s="21">
        <f t="shared" si="6"/>
        <v>0.35556938178462616</v>
      </c>
      <c r="J14" s="29">
        <f t="shared" si="0"/>
        <v>1.5977217552211487</v>
      </c>
      <c r="K14" s="6">
        <f t="shared" si="2"/>
        <v>0.58838266564831265</v>
      </c>
      <c r="L14" s="6">
        <f t="shared" si="3"/>
        <v>4.6633152745410609</v>
      </c>
      <c r="M14" s="30">
        <f t="shared" si="4"/>
        <v>2.0875808016036501</v>
      </c>
      <c r="N14" s="1">
        <v>90.54</v>
      </c>
      <c r="O14" s="1">
        <v>0.24747669999999999</v>
      </c>
      <c r="P14" s="1">
        <v>0.39522550000000001</v>
      </c>
    </row>
    <row r="15" spans="1:16" x14ac:dyDescent="0.2">
      <c r="A15" s="20">
        <f t="shared" si="1"/>
        <v>1999.75</v>
      </c>
      <c r="B15" s="4">
        <v>23449.635224357</v>
      </c>
      <c r="C15" s="5">
        <v>101.398090609356</v>
      </c>
      <c r="D15" s="5">
        <v>11.133333333333301</v>
      </c>
      <c r="E15" s="5">
        <v>71.670948183186397</v>
      </c>
      <c r="F15" s="5">
        <f t="shared" si="5"/>
        <v>0.77029216336486073</v>
      </c>
      <c r="G15" s="6">
        <v>5.043333333333333</v>
      </c>
      <c r="H15" s="6">
        <v>79.881291076820204</v>
      </c>
      <c r="I15" s="21">
        <f t="shared" si="6"/>
        <v>0.55113631664118756</v>
      </c>
      <c r="J15" s="29">
        <f t="shared" si="0"/>
        <v>1.6372148097747896</v>
      </c>
      <c r="K15" s="6">
        <f t="shared" si="2"/>
        <v>0.57254863907556519</v>
      </c>
      <c r="L15" s="6">
        <f t="shared" si="3"/>
        <v>4.6190542606973057</v>
      </c>
      <c r="M15" s="30">
        <f t="shared" si="4"/>
        <v>2.5999692297515864</v>
      </c>
      <c r="N15" s="1">
        <v>90.85</v>
      </c>
      <c r="O15" s="1">
        <v>0.65455759999999996</v>
      </c>
      <c r="P15" s="1">
        <v>0.31366729999999998</v>
      </c>
    </row>
    <row r="16" spans="1:16" x14ac:dyDescent="0.2">
      <c r="A16" s="20">
        <f t="shared" si="1"/>
        <v>2000</v>
      </c>
      <c r="B16" s="4">
        <v>23671.182778312999</v>
      </c>
      <c r="C16" s="5">
        <v>108.285933746064</v>
      </c>
      <c r="D16" s="5">
        <v>11.883333333333301</v>
      </c>
      <c r="E16" s="5">
        <v>72.405895506342702</v>
      </c>
      <c r="F16" s="5">
        <f t="shared" si="5"/>
        <v>1.0202245956036471</v>
      </c>
      <c r="G16" s="6">
        <v>5.5200000000000005</v>
      </c>
      <c r="H16" s="6">
        <v>80.411321373883396</v>
      </c>
      <c r="I16" s="21">
        <f t="shared" si="6"/>
        <v>0.66133082583794689</v>
      </c>
      <c r="J16" s="29">
        <f t="shared" si="0"/>
        <v>1.4623907226608779</v>
      </c>
      <c r="K16" s="6">
        <f t="shared" si="2"/>
        <v>0.72679191285183187</v>
      </c>
      <c r="L16" s="6">
        <f t="shared" si="3"/>
        <v>4.6847752632636963</v>
      </c>
      <c r="M16" s="30">
        <f t="shared" si="4"/>
        <v>0.94034524811554832</v>
      </c>
      <c r="N16" s="1">
        <v>91.11</v>
      </c>
      <c r="O16" s="1">
        <v>0.99247079999999999</v>
      </c>
      <c r="P16" s="1">
        <v>0.26129150000000001</v>
      </c>
    </row>
    <row r="17" spans="1:16" x14ac:dyDescent="0.2">
      <c r="A17" s="20">
        <f t="shared" si="1"/>
        <v>2000.25</v>
      </c>
      <c r="B17" s="4">
        <v>23723.660435901002</v>
      </c>
      <c r="C17" s="5">
        <v>109.863504000281</v>
      </c>
      <c r="D17" s="5">
        <v>10.716666666666701</v>
      </c>
      <c r="E17" s="5">
        <v>73.400709524833402</v>
      </c>
      <c r="F17" s="5">
        <f t="shared" si="5"/>
        <v>1.3645876402538448</v>
      </c>
      <c r="G17" s="6">
        <v>5.7133333333333338</v>
      </c>
      <c r="H17" s="6">
        <v>80.912241448110294</v>
      </c>
      <c r="I17" s="21">
        <f t="shared" si="6"/>
        <v>0.6210149036321333</v>
      </c>
      <c r="J17" s="29">
        <f t="shared" si="0"/>
        <v>1.8338143003885365</v>
      </c>
      <c r="K17" s="6">
        <f t="shared" si="2"/>
        <v>0.80863115784011175</v>
      </c>
      <c r="L17" s="6">
        <f t="shared" si="3"/>
        <v>4.6992387225476611</v>
      </c>
      <c r="M17" s="30">
        <f t="shared" si="4"/>
        <v>0.22144889812807378</v>
      </c>
      <c r="N17" s="1">
        <v>90.58</v>
      </c>
      <c r="O17" s="1">
        <v>0.43275609999999998</v>
      </c>
      <c r="P17" s="1">
        <v>-0.53565220000000002</v>
      </c>
    </row>
    <row r="18" spans="1:16" x14ac:dyDescent="0.2">
      <c r="A18" s="20">
        <f t="shared" si="1"/>
        <v>2000.5</v>
      </c>
      <c r="B18" s="4">
        <v>24092.776776054001</v>
      </c>
      <c r="C18" s="5">
        <v>104.26029648355799</v>
      </c>
      <c r="D18" s="5">
        <v>9.8633333333333297</v>
      </c>
      <c r="E18" s="5">
        <v>73.938907761771702</v>
      </c>
      <c r="F18" s="5">
        <f t="shared" si="5"/>
        <v>0.73055793214491516</v>
      </c>
      <c r="G18" s="6">
        <v>6.0166666666666666</v>
      </c>
      <c r="H18" s="6">
        <v>81.387248749110199</v>
      </c>
      <c r="I18" s="21">
        <f t="shared" si="6"/>
        <v>0.5853483047875585</v>
      </c>
      <c r="J18" s="29">
        <f t="shared" si="0"/>
        <v>1.0105445018011361</v>
      </c>
      <c r="K18" s="6">
        <f t="shared" si="2"/>
        <v>0.92588271224256502</v>
      </c>
      <c r="L18" s="6">
        <f t="shared" si="3"/>
        <v>4.6468906230301235</v>
      </c>
      <c r="M18" s="30">
        <f t="shared" si="4"/>
        <v>1.5439195966791885</v>
      </c>
      <c r="N18" s="1">
        <v>90.81</v>
      </c>
      <c r="O18" s="1">
        <v>0.71156940000000002</v>
      </c>
      <c r="P18" s="1">
        <v>0.23641970000000001</v>
      </c>
    </row>
    <row r="19" spans="1:16" x14ac:dyDescent="0.2">
      <c r="A19" s="20">
        <f t="shared" si="1"/>
        <v>2000.75</v>
      </c>
      <c r="B19" s="4">
        <v>24375.535936814998</v>
      </c>
      <c r="C19" s="5">
        <v>103.61040109651501</v>
      </c>
      <c r="D19" s="5">
        <v>10.5666666666667</v>
      </c>
      <c r="E19" s="5">
        <v>74.947826273919603</v>
      </c>
      <c r="F19" s="5">
        <f t="shared" si="5"/>
        <v>1.3553040332663358</v>
      </c>
      <c r="G19" s="6">
        <v>6.0166666666666666</v>
      </c>
      <c r="H19" s="6">
        <v>81.828326261575796</v>
      </c>
      <c r="I19" s="21">
        <f t="shared" si="6"/>
        <v>0.54048590177044886</v>
      </c>
      <c r="J19" s="29">
        <f t="shared" si="0"/>
        <v>2.0563538456244812</v>
      </c>
      <c r="K19" s="6">
        <f t="shared" si="2"/>
        <v>0.8113876883680371</v>
      </c>
      <c r="L19" s="6">
        <f t="shared" si="3"/>
        <v>4.6406377214704806</v>
      </c>
      <c r="M19" s="30">
        <f t="shared" si="4"/>
        <v>1.1667927057573024</v>
      </c>
      <c r="N19" s="1">
        <v>90.53</v>
      </c>
      <c r="O19" s="1">
        <v>0.38882719999999998</v>
      </c>
      <c r="P19" s="1">
        <v>-0.28712460000000001</v>
      </c>
    </row>
    <row r="20" spans="1:16" x14ac:dyDescent="0.2">
      <c r="A20" s="20">
        <f t="shared" si="1"/>
        <v>2001</v>
      </c>
      <c r="B20" s="4">
        <v>24545.366770252</v>
      </c>
      <c r="C20" s="5">
        <v>103.308230763761</v>
      </c>
      <c r="D20" s="5">
        <v>7.5</v>
      </c>
      <c r="E20" s="5">
        <v>75.306067512362901</v>
      </c>
      <c r="F20" s="5">
        <f t="shared" si="5"/>
        <v>0.47684876343261351</v>
      </c>
      <c r="G20" s="6">
        <v>4.8166666666666673</v>
      </c>
      <c r="H20" s="6">
        <v>82.365791829009694</v>
      </c>
      <c r="I20" s="21">
        <f t="shared" si="6"/>
        <v>0.65467325299772838</v>
      </c>
      <c r="J20" s="29">
        <f t="shared" si="0"/>
        <v>0.83931099915519614</v>
      </c>
      <c r="K20" s="6">
        <f t="shared" si="2"/>
        <v>0.57664149465284087</v>
      </c>
      <c r="L20" s="6">
        <f t="shared" si="3"/>
        <v>4.6377170512066384</v>
      </c>
      <c r="M20" s="30">
        <f t="shared" si="4"/>
        <v>0.69431063732583453</v>
      </c>
      <c r="N20" s="1">
        <v>90.42</v>
      </c>
      <c r="O20" s="1">
        <v>0.2420128</v>
      </c>
      <c r="P20" s="1">
        <v>-0.1060715</v>
      </c>
    </row>
    <row r="21" spans="1:16" x14ac:dyDescent="0.2">
      <c r="A21" s="20">
        <f t="shared" si="1"/>
        <v>2001.25</v>
      </c>
      <c r="B21" s="4">
        <v>24783.147241101</v>
      </c>
      <c r="C21" s="5">
        <v>100.72543539911</v>
      </c>
      <c r="D21" s="5">
        <v>8.0166666666666693</v>
      </c>
      <c r="E21" s="5">
        <v>76.045375188131601</v>
      </c>
      <c r="F21" s="5">
        <f t="shared" si="5"/>
        <v>0.97694946637432167</v>
      </c>
      <c r="G21" s="6">
        <v>3.66</v>
      </c>
      <c r="H21" s="6">
        <v>82.863866854122804</v>
      </c>
      <c r="I21" s="21">
        <f t="shared" si="6"/>
        <v>0.60288998686539585</v>
      </c>
      <c r="J21" s="29">
        <f t="shared" si="0"/>
        <v>1.171005995712382</v>
      </c>
      <c r="K21" s="6">
        <f t="shared" si="2"/>
        <v>0.50880317433750211</v>
      </c>
      <c r="L21" s="6">
        <f t="shared" si="3"/>
        <v>4.612398353719942</v>
      </c>
      <c r="M21" s="30">
        <f t="shared" si="4"/>
        <v>0.96407652777656949</v>
      </c>
      <c r="N21" s="1">
        <v>90.05</v>
      </c>
      <c r="O21" s="1">
        <v>-0.22408320000000001</v>
      </c>
      <c r="P21" s="1">
        <v>-0.36812590000000001</v>
      </c>
    </row>
    <row r="22" spans="1:16" x14ac:dyDescent="0.2">
      <c r="A22" s="20">
        <f t="shared" si="1"/>
        <v>2001.5</v>
      </c>
      <c r="B22" s="4">
        <v>24724.883206814</v>
      </c>
      <c r="C22" s="5">
        <v>91.576144226203994</v>
      </c>
      <c r="D22" s="5">
        <v>6.8966666666666701</v>
      </c>
      <c r="E22" s="5">
        <v>76.630582670393494</v>
      </c>
      <c r="F22" s="5">
        <f t="shared" si="5"/>
        <v>0.76660445617662276</v>
      </c>
      <c r="G22" s="6">
        <v>3.17</v>
      </c>
      <c r="H22" s="6">
        <v>83.189252486095697</v>
      </c>
      <c r="I22" s="21">
        <f t="shared" si="6"/>
        <v>0.39190597530831539</v>
      </c>
      <c r="J22" s="29">
        <f t="shared" si="0"/>
        <v>0.8961577023937739</v>
      </c>
      <c r="K22" s="6">
        <f t="shared" si="2"/>
        <v>0.47123164613487312</v>
      </c>
      <c r="L22" s="6">
        <f t="shared" si="3"/>
        <v>4.5171708035494591</v>
      </c>
      <c r="M22" s="30">
        <f t="shared" si="4"/>
        <v>-0.23537216349946988</v>
      </c>
      <c r="N22" s="1">
        <v>89.54</v>
      </c>
      <c r="O22" s="1">
        <v>-0.87763729999999995</v>
      </c>
      <c r="P22" s="1">
        <v>-0.50807950000000002</v>
      </c>
    </row>
    <row r="23" spans="1:16" x14ac:dyDescent="0.2">
      <c r="A23" s="20">
        <f t="shared" si="1"/>
        <v>2001.75</v>
      </c>
      <c r="B23" s="4">
        <v>24879.314910601999</v>
      </c>
      <c r="C23" s="5">
        <v>88.147332753841596</v>
      </c>
      <c r="D23" s="5">
        <v>6.52</v>
      </c>
      <c r="E23" s="5">
        <v>77.229215222532801</v>
      </c>
      <c r="F23" s="5">
        <f t="shared" si="5"/>
        <v>0.77815723285432625</v>
      </c>
      <c r="G23" s="6">
        <v>1.906666666666667</v>
      </c>
      <c r="H23" s="6">
        <v>83.448002088841605</v>
      </c>
      <c r="I23" s="21">
        <f t="shared" si="6"/>
        <v>0.31055457720210455</v>
      </c>
      <c r="J23" s="29">
        <f t="shared" si="0"/>
        <v>1.7017474041101321</v>
      </c>
      <c r="K23" s="6">
        <f t="shared" si="2"/>
        <v>0.15011317818145464</v>
      </c>
      <c r="L23" s="6">
        <f t="shared" si="3"/>
        <v>4.4790096503468622</v>
      </c>
      <c r="M23" s="30">
        <f t="shared" si="4"/>
        <v>0.62265779347452366</v>
      </c>
      <c r="N23" s="1">
        <v>89.15</v>
      </c>
      <c r="O23" s="1">
        <v>-1.4378249999999999</v>
      </c>
      <c r="P23" s="1">
        <v>-0.39134219999999997</v>
      </c>
    </row>
    <row r="24" spans="1:16" x14ac:dyDescent="0.2">
      <c r="A24" s="20">
        <f t="shared" si="1"/>
        <v>2002</v>
      </c>
      <c r="B24" s="4">
        <v>25087.662860722001</v>
      </c>
      <c r="C24" s="5">
        <v>92.770648715478004</v>
      </c>
      <c r="D24" s="5">
        <v>5.43</v>
      </c>
      <c r="E24" s="5">
        <v>77.145615996559897</v>
      </c>
      <c r="F24" s="5">
        <f t="shared" si="5"/>
        <v>-0.10830681852063151</v>
      </c>
      <c r="G24" s="6">
        <v>1.72</v>
      </c>
      <c r="H24" s="6">
        <v>83.717722351658594</v>
      </c>
      <c r="I24" s="21">
        <f t="shared" si="6"/>
        <v>0.32269832560345435</v>
      </c>
      <c r="J24" s="29">
        <f t="shared" si="0"/>
        <v>0.58275560871514642</v>
      </c>
      <c r="K24" s="6">
        <f t="shared" si="2"/>
        <v>8.1141353731073451E-2</v>
      </c>
      <c r="L24" s="6">
        <f t="shared" si="3"/>
        <v>4.5301303043698242</v>
      </c>
      <c r="M24" s="30">
        <f t="shared" si="4"/>
        <v>0.83394740649325172</v>
      </c>
      <c r="N24" s="1">
        <v>89.94</v>
      </c>
      <c r="O24" s="1">
        <v>-0.73736860000000004</v>
      </c>
      <c r="P24" s="1">
        <v>0.78601840000000001</v>
      </c>
    </row>
    <row r="25" spans="1:16" x14ac:dyDescent="0.2">
      <c r="A25" s="20">
        <f t="shared" si="1"/>
        <v>2002.25</v>
      </c>
      <c r="B25" s="4">
        <v>25291.740560257</v>
      </c>
      <c r="C25" s="5">
        <v>95.798148881969297</v>
      </c>
      <c r="D25" s="5">
        <v>4.1900000000000004</v>
      </c>
      <c r="E25" s="5">
        <v>77.721419049666693</v>
      </c>
      <c r="F25" s="5">
        <f t="shared" si="5"/>
        <v>0.74361300483909432</v>
      </c>
      <c r="G25" s="6">
        <v>1.7133333333333332</v>
      </c>
      <c r="H25" s="6">
        <v>84.007746264147499</v>
      </c>
      <c r="I25" s="21">
        <f t="shared" si="6"/>
        <v>0.3458320360515188</v>
      </c>
      <c r="J25" s="29">
        <f t="shared" si="0"/>
        <v>0.1102157860362496</v>
      </c>
      <c r="K25" s="6">
        <f t="shared" si="2"/>
        <v>-5.4575318115279714E-2</v>
      </c>
      <c r="L25" s="6">
        <f t="shared" si="3"/>
        <v>4.5622433620549439</v>
      </c>
      <c r="M25" s="30">
        <f t="shared" si="4"/>
        <v>0.81016765556043424</v>
      </c>
      <c r="N25" s="1">
        <v>89.86</v>
      </c>
      <c r="O25" s="1">
        <v>-1.033647</v>
      </c>
      <c r="P25" s="1">
        <v>-7.7201800000000001E-2</v>
      </c>
    </row>
    <row r="26" spans="1:16" x14ac:dyDescent="0.2">
      <c r="A26" s="20">
        <f t="shared" si="1"/>
        <v>2002.5</v>
      </c>
      <c r="B26" s="4">
        <v>25567.252889815001</v>
      </c>
      <c r="C26" s="5">
        <v>89.027480577388502</v>
      </c>
      <c r="D26" s="5">
        <v>3.1533333333333302</v>
      </c>
      <c r="E26" s="5">
        <v>78.439913996989901</v>
      </c>
      <c r="F26" s="5">
        <f t="shared" si="5"/>
        <v>0.9202022079482397</v>
      </c>
      <c r="G26" s="6">
        <v>1.6433333333333333</v>
      </c>
      <c r="H26" s="6">
        <v>84.412329243860199</v>
      </c>
      <c r="I26" s="21">
        <f t="shared" si="6"/>
        <v>0.48044599996241999</v>
      </c>
      <c r="J26" s="29">
        <f t="shared" si="0"/>
        <v>-0.55850513866004814</v>
      </c>
      <c r="K26" s="6">
        <f t="shared" si="2"/>
        <v>-0.16230246111815783</v>
      </c>
      <c r="L26" s="6">
        <f t="shared" si="3"/>
        <v>4.4889450926047845</v>
      </c>
      <c r="M26" s="30">
        <f t="shared" si="4"/>
        <v>1.0834466274795673</v>
      </c>
      <c r="N26" s="1">
        <v>90.06</v>
      </c>
      <c r="O26" s="1">
        <v>-1.068435</v>
      </c>
      <c r="P26" s="1">
        <v>0.2008896</v>
      </c>
    </row>
    <row r="27" spans="1:16" x14ac:dyDescent="0.2">
      <c r="A27" s="20">
        <f t="shared" si="1"/>
        <v>2002.75</v>
      </c>
      <c r="B27" s="4">
        <v>25938.817980111002</v>
      </c>
      <c r="C27" s="5">
        <v>89.088750260982906</v>
      </c>
      <c r="D27" s="5">
        <v>2.9266666666666699</v>
      </c>
      <c r="E27" s="5">
        <v>79.502214577510202</v>
      </c>
      <c r="F27" s="5">
        <f t="shared" si="5"/>
        <v>1.3451972683418134</v>
      </c>
      <c r="G27" s="6">
        <v>1.3333333333333333</v>
      </c>
      <c r="H27" s="6">
        <v>84.896174112082093</v>
      </c>
      <c r="I27" s="21">
        <f t="shared" si="6"/>
        <v>0.57155568184841243</v>
      </c>
      <c r="J27" s="29">
        <f t="shared" si="0"/>
        <v>2.500732309844711E-2</v>
      </c>
      <c r="K27" s="6">
        <f t="shared" si="2"/>
        <v>-0.16576741026431696</v>
      </c>
      <c r="L27" s="6">
        <f t="shared" si="3"/>
        <v>4.4896330668081754</v>
      </c>
      <c r="M27" s="30">
        <f t="shared" si="4"/>
        <v>1.442826175128431</v>
      </c>
      <c r="N27" s="1">
        <v>89.41</v>
      </c>
      <c r="O27" s="1">
        <v>-2.0863109999999998</v>
      </c>
      <c r="P27" s="1">
        <v>-0.65420529999999999</v>
      </c>
    </row>
    <row r="28" spans="1:16" x14ac:dyDescent="0.2">
      <c r="A28" s="20">
        <f t="shared" si="1"/>
        <v>2003</v>
      </c>
      <c r="B28" s="4">
        <v>26307.422273104999</v>
      </c>
      <c r="C28" s="5">
        <v>84.968892442128805</v>
      </c>
      <c r="D28" s="5">
        <v>2.8533333333333299</v>
      </c>
      <c r="E28" s="5">
        <v>80.059552784347503</v>
      </c>
      <c r="F28" s="5">
        <f t="shared" si="5"/>
        <v>0.69858899494850135</v>
      </c>
      <c r="G28" s="6">
        <v>1.1566666666666665</v>
      </c>
      <c r="H28" s="6">
        <v>85.320244373895903</v>
      </c>
      <c r="I28" s="21">
        <f t="shared" si="6"/>
        <v>0.49827289631894089</v>
      </c>
      <c r="J28" s="29">
        <f t="shared" si="0"/>
        <v>1.8622544132895769E-2</v>
      </c>
      <c r="K28" s="6">
        <f t="shared" si="2"/>
        <v>-5.5537002512340283E-2</v>
      </c>
      <c r="L28" s="6">
        <f t="shared" si="3"/>
        <v>4.4422852182374157</v>
      </c>
      <c r="M28" s="30">
        <f t="shared" si="4"/>
        <v>1.4110504684799352</v>
      </c>
      <c r="N28" s="1">
        <v>89.96</v>
      </c>
      <c r="O28" s="1">
        <v>-1.831234</v>
      </c>
      <c r="P28" s="1">
        <v>0.54933929999999997</v>
      </c>
    </row>
    <row r="29" spans="1:16" x14ac:dyDescent="0.2">
      <c r="A29" s="20">
        <f t="shared" si="1"/>
        <v>2003.25</v>
      </c>
      <c r="B29" s="4">
        <v>26585.932818410001</v>
      </c>
      <c r="C29" s="5">
        <v>83.669833808319495</v>
      </c>
      <c r="D29" s="5">
        <v>2.6166666666666698</v>
      </c>
      <c r="E29" s="5">
        <v>80.611515803053095</v>
      </c>
      <c r="F29" s="5">
        <f t="shared" si="5"/>
        <v>0.68707477325098409</v>
      </c>
      <c r="G29" s="6">
        <v>1.04</v>
      </c>
      <c r="H29" s="6">
        <v>85.613950617558601</v>
      </c>
      <c r="I29" s="21">
        <f t="shared" si="6"/>
        <v>0.34364865698117697</v>
      </c>
      <c r="J29" s="29">
        <f t="shared" si="0"/>
        <v>0.68852777614174521</v>
      </c>
      <c r="K29" s="6">
        <f t="shared" si="2"/>
        <v>-0.30569980088874793</v>
      </c>
      <c r="L29" s="6">
        <f t="shared" si="3"/>
        <v>4.4268785040299221</v>
      </c>
      <c r="M29" s="30">
        <f t="shared" si="4"/>
        <v>1.0531119412783951</v>
      </c>
      <c r="N29" s="1">
        <v>89.95</v>
      </c>
      <c r="O29" s="1">
        <v>-2.2245159999999999</v>
      </c>
      <c r="P29" s="1">
        <v>-2.4109000000000001E-3</v>
      </c>
    </row>
    <row r="30" spans="1:16" x14ac:dyDescent="0.2">
      <c r="A30" s="20">
        <f t="shared" si="1"/>
        <v>2003.5</v>
      </c>
      <c r="B30" s="4">
        <v>26761.193855272999</v>
      </c>
      <c r="C30" s="5">
        <v>85.117418005564303</v>
      </c>
      <c r="D30" s="5">
        <v>2.9166666666666701</v>
      </c>
      <c r="E30" s="5">
        <v>80.578950763276694</v>
      </c>
      <c r="F30" s="5">
        <f t="shared" si="5"/>
        <v>-4.0405665314047212E-2</v>
      </c>
      <c r="G30" s="6">
        <v>0.93</v>
      </c>
      <c r="H30" s="6">
        <v>86.100264119195799</v>
      </c>
      <c r="I30" s="21">
        <f t="shared" si="6"/>
        <v>0.56642346424746748</v>
      </c>
      <c r="J30" s="29">
        <f t="shared" si="0"/>
        <v>1.0091839596914287</v>
      </c>
      <c r="K30" s="6">
        <f t="shared" si="2"/>
        <v>-0.38014339735334968</v>
      </c>
      <c r="L30" s="6">
        <f t="shared" si="3"/>
        <v>4.4440316915520155</v>
      </c>
      <c r="M30" s="30">
        <f t="shared" si="4"/>
        <v>0.65706132020704189</v>
      </c>
      <c r="N30" s="1">
        <v>89.75</v>
      </c>
      <c r="O30" s="1">
        <v>-2.8760669999999999</v>
      </c>
      <c r="P30" s="1">
        <v>-0.2026367</v>
      </c>
    </row>
    <row r="31" spans="1:16" x14ac:dyDescent="0.2">
      <c r="A31" s="20">
        <f t="shared" si="1"/>
        <v>2003.75</v>
      </c>
      <c r="B31" s="4">
        <v>26906.406246649</v>
      </c>
      <c r="C31" s="5">
        <v>91.134749483491902</v>
      </c>
      <c r="D31" s="5">
        <v>2.68333333333333</v>
      </c>
      <c r="E31" s="5">
        <v>80.349640937432795</v>
      </c>
      <c r="F31" s="5">
        <f t="shared" si="5"/>
        <v>-0.284983517989712</v>
      </c>
      <c r="G31" s="6">
        <v>0.91666666666666663</v>
      </c>
      <c r="H31" s="6">
        <v>86.630694748397005</v>
      </c>
      <c r="I31" s="21">
        <f t="shared" si="6"/>
        <v>0.61417165750485836</v>
      </c>
      <c r="J31" s="29">
        <f t="shared" si="0"/>
        <v>1.0236441542742503</v>
      </c>
      <c r="K31" s="6">
        <f t="shared" si="2"/>
        <v>-0.47331043992783206</v>
      </c>
      <c r="L31" s="6">
        <f t="shared" si="3"/>
        <v>4.512339174822424</v>
      </c>
      <c r="M31" s="30">
        <f t="shared" si="4"/>
        <v>0.54115609969027645</v>
      </c>
      <c r="N31" s="1">
        <v>91.02</v>
      </c>
      <c r="O31" s="1">
        <v>-1.9776199999999999</v>
      </c>
      <c r="P31" s="1">
        <v>1.269722</v>
      </c>
    </row>
    <row r="32" spans="1:16" x14ac:dyDescent="0.2">
      <c r="A32" s="20">
        <f t="shared" si="1"/>
        <v>2004</v>
      </c>
      <c r="B32" s="4">
        <v>27473.1265355</v>
      </c>
      <c r="C32" s="5">
        <v>94.441637646646399</v>
      </c>
      <c r="D32" s="5">
        <v>1.65</v>
      </c>
      <c r="E32" s="5">
        <v>80.064252848849705</v>
      </c>
      <c r="F32" s="5">
        <f t="shared" si="5"/>
        <v>-0.35581505185335871</v>
      </c>
      <c r="G32" s="6">
        <v>0.91666666666666663</v>
      </c>
      <c r="H32" s="6">
        <v>87.243625718167607</v>
      </c>
      <c r="I32" s="21">
        <f t="shared" si="6"/>
        <v>0.70503051517558646</v>
      </c>
      <c r="J32" s="29">
        <f t="shared" si="0"/>
        <v>-0.72380406425762711</v>
      </c>
      <c r="K32" s="6">
        <f t="shared" si="2"/>
        <v>-0.56707521288876794</v>
      </c>
      <c r="L32" s="6">
        <f t="shared" si="3"/>
        <v>4.5479820526710144</v>
      </c>
      <c r="M32" s="30">
        <f t="shared" si="4"/>
        <v>2.0843901306367485</v>
      </c>
      <c r="N32" s="1">
        <v>92.7</v>
      </c>
      <c r="O32" s="1">
        <v>-0.69207940000000001</v>
      </c>
      <c r="P32" s="1">
        <v>1.674202</v>
      </c>
    </row>
    <row r="33" spans="1:16" x14ac:dyDescent="0.2">
      <c r="A33" s="20">
        <f t="shared" si="1"/>
        <v>2004.25</v>
      </c>
      <c r="B33" s="4">
        <v>28001.274011614001</v>
      </c>
      <c r="C33" s="5">
        <v>89.711139238920097</v>
      </c>
      <c r="D33" s="5">
        <v>1.44333333333333</v>
      </c>
      <c r="E33" s="5">
        <v>80.983861535153693</v>
      </c>
      <c r="F33" s="5">
        <f t="shared" si="5"/>
        <v>1.1420421591094687</v>
      </c>
      <c r="G33" s="6">
        <v>1.0766666666666667</v>
      </c>
      <c r="H33" s="6">
        <v>87.944369474916698</v>
      </c>
      <c r="I33" s="21">
        <f t="shared" si="6"/>
        <v>0.79999487775967992</v>
      </c>
      <c r="J33" s="29">
        <f t="shared" si="0"/>
        <v>-0.59913409781647831</v>
      </c>
      <c r="K33" s="6">
        <f t="shared" si="2"/>
        <v>-0.36937124542135713</v>
      </c>
      <c r="L33" s="6">
        <f t="shared" si="3"/>
        <v>4.4965949446201998</v>
      </c>
      <c r="M33" s="30">
        <f t="shared" si="4"/>
        <v>1.9041699560981229</v>
      </c>
      <c r="N33" s="1">
        <v>94.34</v>
      </c>
      <c r="O33" s="1">
        <v>0.51885709999999996</v>
      </c>
      <c r="P33" s="1">
        <v>1.646835</v>
      </c>
    </row>
    <row r="34" spans="1:16" x14ac:dyDescent="0.2">
      <c r="A34" s="20">
        <f t="shared" si="1"/>
        <v>2004.5</v>
      </c>
      <c r="B34" s="4">
        <v>28734.395400871999</v>
      </c>
      <c r="C34" s="5">
        <v>88.8775778082898</v>
      </c>
      <c r="D34" s="5">
        <v>1.89</v>
      </c>
      <c r="E34" s="5">
        <v>81.768161685658995</v>
      </c>
      <c r="F34" s="5">
        <f t="shared" si="5"/>
        <v>0.96380518809544569</v>
      </c>
      <c r="G34" s="6">
        <v>1.4866666666666666</v>
      </c>
      <c r="H34" s="6">
        <v>88.508860172561199</v>
      </c>
      <c r="I34" s="21">
        <f t="shared" si="6"/>
        <v>0.63982124270509644</v>
      </c>
      <c r="J34" s="29">
        <f t="shared" si="0"/>
        <v>-2.7504577025871946E-2</v>
      </c>
      <c r="K34" s="6">
        <f t="shared" si="2"/>
        <v>-0.3977566661271803</v>
      </c>
      <c r="L34" s="6">
        <f t="shared" si="3"/>
        <v>4.4872598925780434</v>
      </c>
      <c r="M34" s="30">
        <f t="shared" si="4"/>
        <v>2.5844841670926044</v>
      </c>
      <c r="N34" s="1">
        <v>93.34</v>
      </c>
      <c r="O34" s="1">
        <v>-1.1177079999999999</v>
      </c>
      <c r="P34" s="1">
        <v>-1.0039830000000001</v>
      </c>
    </row>
    <row r="35" spans="1:16" x14ac:dyDescent="0.2">
      <c r="A35" s="20">
        <f t="shared" si="1"/>
        <v>2004.75</v>
      </c>
      <c r="B35" s="4">
        <v>29200.542341176999</v>
      </c>
      <c r="C35" s="5">
        <v>91.113698765741105</v>
      </c>
      <c r="D35" s="5">
        <v>2.33666666666667</v>
      </c>
      <c r="E35" s="5">
        <v>82.175420339711906</v>
      </c>
      <c r="F35" s="5">
        <f t="shared" si="5"/>
        <v>0.49682883190484972</v>
      </c>
      <c r="G35" s="6">
        <v>2.0066666666666664</v>
      </c>
      <c r="H35" s="6">
        <v>89.193395667340596</v>
      </c>
      <c r="I35" s="21">
        <f t="shared" si="6"/>
        <v>0.77043352941803533</v>
      </c>
      <c r="J35" s="29">
        <f t="shared" si="0"/>
        <v>0.91654038168444973</v>
      </c>
      <c r="K35" s="6">
        <f t="shared" si="2"/>
        <v>-0.29325364212183791</v>
      </c>
      <c r="L35" s="6">
        <f t="shared" si="3"/>
        <v>4.5121081636061788</v>
      </c>
      <c r="M35" s="30">
        <f t="shared" si="4"/>
        <v>1.6092431203929891</v>
      </c>
      <c r="N35" s="1">
        <v>93.32</v>
      </c>
      <c r="O35" s="1">
        <v>-1.712539</v>
      </c>
      <c r="P35" s="1">
        <v>-1.43433E-2</v>
      </c>
    </row>
    <row r="36" spans="1:16" x14ac:dyDescent="0.2">
      <c r="A36" s="20">
        <f t="shared" si="1"/>
        <v>2005</v>
      </c>
      <c r="B36" s="4">
        <v>29233.577951064999</v>
      </c>
      <c r="C36" s="5">
        <v>91.683503215784697</v>
      </c>
      <c r="D36" s="5">
        <v>2.7566666666666699</v>
      </c>
      <c r="E36" s="5">
        <v>81.901118039131404</v>
      </c>
      <c r="F36" s="5">
        <f t="shared" si="5"/>
        <v>-0.33435926774192382</v>
      </c>
      <c r="G36" s="6">
        <v>2.5366666666666666</v>
      </c>
      <c r="H36" s="6">
        <v>89.903974967855902</v>
      </c>
      <c r="I36" s="21">
        <f t="shared" si="6"/>
        <v>0.79351586967835175</v>
      </c>
      <c r="J36" s="29">
        <f t="shared" si="0"/>
        <v>-0.90520196553567356</v>
      </c>
      <c r="K36" s="6">
        <f t="shared" si="2"/>
        <v>-9.5255751792111543E-2</v>
      </c>
      <c r="L36" s="6">
        <f t="shared" si="3"/>
        <v>4.5183424635778504</v>
      </c>
      <c r="M36" s="30">
        <f t="shared" si="4"/>
        <v>0.11306960126162835</v>
      </c>
      <c r="N36" s="1">
        <v>94.33</v>
      </c>
      <c r="O36" s="1">
        <v>-1.2441420000000001</v>
      </c>
      <c r="P36" s="1">
        <v>1.0067600000000001</v>
      </c>
    </row>
    <row r="37" spans="1:16" x14ac:dyDescent="0.2">
      <c r="A37" s="20">
        <f t="shared" si="1"/>
        <v>2005.25</v>
      </c>
      <c r="B37" s="4">
        <v>29719.078089668001</v>
      </c>
      <c r="C37" s="5">
        <v>92.244775961178107</v>
      </c>
      <c r="D37" s="5">
        <v>3.0033333333333299</v>
      </c>
      <c r="E37" s="5">
        <v>83.2236207267254</v>
      </c>
      <c r="F37" s="5">
        <f t="shared" si="5"/>
        <v>1.6018568462500049</v>
      </c>
      <c r="G37" s="6">
        <v>2.8633333333333333</v>
      </c>
      <c r="H37" s="6">
        <v>90.557393362273103</v>
      </c>
      <c r="I37" s="21">
        <f t="shared" si="6"/>
        <v>0.72416745589398701</v>
      </c>
      <c r="J37" s="29">
        <f t="shared" si="0"/>
        <v>-0.748159905384993</v>
      </c>
      <c r="K37" s="6">
        <f t="shared" si="2"/>
        <v>-0.19540651602829584</v>
      </c>
      <c r="L37" s="6">
        <f t="shared" si="3"/>
        <v>4.5244456521700247</v>
      </c>
      <c r="M37" s="30">
        <f t="shared" si="4"/>
        <v>1.647122106296095</v>
      </c>
      <c r="N37" s="1">
        <v>94.56</v>
      </c>
      <c r="O37" s="1">
        <v>-1.5994930000000001</v>
      </c>
      <c r="P37" s="1">
        <v>0.2256775</v>
      </c>
    </row>
    <row r="38" spans="1:16" x14ac:dyDescent="0.2">
      <c r="A38" s="20">
        <f t="shared" si="1"/>
        <v>2005.5</v>
      </c>
      <c r="B38" s="4">
        <v>30441.643547539999</v>
      </c>
      <c r="C38" s="5">
        <v>97.659383811968297</v>
      </c>
      <c r="D38" s="5">
        <v>3.6966666666666699</v>
      </c>
      <c r="E38" s="5">
        <v>84.483005805203206</v>
      </c>
      <c r="F38" s="5">
        <f t="shared" si="5"/>
        <v>1.5019188905734282</v>
      </c>
      <c r="G38" s="6">
        <v>3.36</v>
      </c>
      <c r="H38" s="6">
        <v>91.381067542844505</v>
      </c>
      <c r="I38" s="21">
        <f t="shared" si="6"/>
        <v>0.90544880262379834</v>
      </c>
      <c r="J38" s="29">
        <f t="shared" si="0"/>
        <v>-5.560124597298044E-2</v>
      </c>
      <c r="K38" s="6">
        <f t="shared" si="2"/>
        <v>2.3730580576786231E-2</v>
      </c>
      <c r="L38" s="6">
        <f t="shared" si="3"/>
        <v>4.5814857490904499</v>
      </c>
      <c r="M38" s="30">
        <f t="shared" si="4"/>
        <v>2.402232505097146</v>
      </c>
      <c r="N38" s="1">
        <v>94.85</v>
      </c>
      <c r="O38" s="1">
        <v>-1.8796889999999999</v>
      </c>
      <c r="P38" s="1">
        <v>0.29152679999999997</v>
      </c>
    </row>
    <row r="39" spans="1:16" x14ac:dyDescent="0.2">
      <c r="A39" s="20">
        <f t="shared" si="1"/>
        <v>2005.75</v>
      </c>
      <c r="B39" s="4">
        <v>30807.652960891999</v>
      </c>
      <c r="C39" s="5">
        <v>103.706069279513</v>
      </c>
      <c r="D39" s="5">
        <v>4.6666666666666696</v>
      </c>
      <c r="E39" s="5">
        <v>85.304571059987097</v>
      </c>
      <c r="F39" s="5">
        <f t="shared" si="5"/>
        <v>0.96776416983725966</v>
      </c>
      <c r="G39" s="6">
        <v>3.8266666666666667</v>
      </c>
      <c r="H39" s="6">
        <v>92.120296029870204</v>
      </c>
      <c r="I39" s="21">
        <f t="shared" si="6"/>
        <v>0.80569699486954249</v>
      </c>
      <c r="J39" s="29">
        <f t="shared" si="0"/>
        <v>1.2356798716251838</v>
      </c>
      <c r="K39" s="6">
        <f t="shared" si="2"/>
        <v>0.2386327419723111</v>
      </c>
      <c r="L39" s="6">
        <f t="shared" si="3"/>
        <v>4.6415606408083914</v>
      </c>
      <c r="M39" s="30">
        <f t="shared" si="4"/>
        <v>1.1951607315237922</v>
      </c>
      <c r="N39" s="1">
        <v>95.91</v>
      </c>
      <c r="O39" s="1">
        <v>-1.3486860000000001</v>
      </c>
      <c r="P39" s="1">
        <v>1.0655669999999999</v>
      </c>
    </row>
    <row r="40" spans="1:16" x14ac:dyDescent="0.2">
      <c r="A40" s="20">
        <f t="shared" si="1"/>
        <v>2006</v>
      </c>
      <c r="B40" s="4">
        <v>31086.268480405</v>
      </c>
      <c r="C40" s="5">
        <v>102.525423599246</v>
      </c>
      <c r="D40" s="5">
        <v>4.5033333333333303</v>
      </c>
      <c r="E40" s="5">
        <v>85.229701139539898</v>
      </c>
      <c r="F40" s="5">
        <f t="shared" si="5"/>
        <v>-8.7806309303051222E-2</v>
      </c>
      <c r="G40" s="6">
        <v>4.3933333333333335</v>
      </c>
      <c r="H40" s="6">
        <v>92.770115619871305</v>
      </c>
      <c r="I40" s="21">
        <f t="shared" si="6"/>
        <v>0.70292694993412397</v>
      </c>
      <c r="J40" s="29">
        <f t="shared" ref="J40:J71" si="7" xml:space="preserve"> 100 * ((1 + D40 * 0.01) ^ 0.25 / (1 + F41 * 0.01) - 1)</f>
        <v>-0.24433908131679116</v>
      </c>
      <c r="K40" s="6">
        <f t="shared" si="2"/>
        <v>0.1962615354936359</v>
      </c>
      <c r="L40" s="6">
        <f t="shared" si="3"/>
        <v>4.630110802937434</v>
      </c>
      <c r="M40" s="30">
        <f t="shared" si="4"/>
        <v>0.90030618502421333</v>
      </c>
      <c r="N40" s="1">
        <v>97.69</v>
      </c>
      <c r="O40" s="1">
        <v>-7.2864499999999999E-2</v>
      </c>
      <c r="P40" s="1">
        <v>1.778084</v>
      </c>
    </row>
    <row r="41" spans="1:16" x14ac:dyDescent="0.2">
      <c r="A41" s="20">
        <f t="shared" si="1"/>
        <v>2006.25</v>
      </c>
      <c r="B41" s="4">
        <v>31731.555103360999</v>
      </c>
      <c r="C41" s="5">
        <v>101.080128693522</v>
      </c>
      <c r="D41" s="5">
        <v>4.6533333333333298</v>
      </c>
      <c r="E41" s="5">
        <v>86.392384433455206</v>
      </c>
      <c r="F41" s="5">
        <f t="shared" si="5"/>
        <v>1.3549550783002573</v>
      </c>
      <c r="G41" s="6">
        <v>4.7033333333333331</v>
      </c>
      <c r="H41" s="6">
        <v>93.592617113873899</v>
      </c>
      <c r="I41" s="21">
        <f t="shared" si="6"/>
        <v>0.88269454129772384</v>
      </c>
      <c r="J41" s="29">
        <f t="shared" si="7"/>
        <v>-4.8793479922737415E-2</v>
      </c>
      <c r="K41" s="6">
        <f t="shared" si="2"/>
        <v>0.45741190522297082</v>
      </c>
      <c r="L41" s="6">
        <f t="shared" si="3"/>
        <v>4.6159135557040072</v>
      </c>
      <c r="M41" s="30">
        <f t="shared" ref="M41:M72" si="8" xml:space="preserve"> 100 * (LN(B41) - LN(B40))</f>
        <v>2.0545421178542966</v>
      </c>
      <c r="N41" s="1">
        <v>102.37</v>
      </c>
      <c r="O41" s="1">
        <v>4.1776819999999999</v>
      </c>
      <c r="P41" s="1">
        <v>4.6819920000000002</v>
      </c>
    </row>
    <row r="42" spans="1:16" x14ac:dyDescent="0.2">
      <c r="A42" s="20">
        <f t="shared" si="1"/>
        <v>2006.5</v>
      </c>
      <c r="B42" s="4">
        <v>32163.532935357001</v>
      </c>
      <c r="C42" s="5">
        <v>98.171650262544901</v>
      </c>
      <c r="D42" s="5">
        <v>5.1100000000000003</v>
      </c>
      <c r="E42" s="5">
        <v>87.429167920877205</v>
      </c>
      <c r="F42" s="5">
        <f t="shared" si="5"/>
        <v>1.1929427264280257</v>
      </c>
      <c r="G42" s="6">
        <v>4.9066666666666663</v>
      </c>
      <c r="H42" s="6">
        <v>94.245402907021401</v>
      </c>
      <c r="I42" s="21">
        <f t="shared" si="6"/>
        <v>0.69505462321695077</v>
      </c>
      <c r="J42" s="29">
        <f t="shared" si="7"/>
        <v>1.4952696742727811</v>
      </c>
      <c r="K42" s="6">
        <f t="shared" si="2"/>
        <v>0.82807298820217756</v>
      </c>
      <c r="L42" s="6">
        <f t="shared" si="3"/>
        <v>4.5867174798162198</v>
      </c>
      <c r="M42" s="30">
        <f t="shared" si="8"/>
        <v>1.3521678331978038</v>
      </c>
      <c r="N42" s="1">
        <v>105.37</v>
      </c>
      <c r="O42" s="1">
        <v>6.7245660000000003</v>
      </c>
      <c r="P42" s="1">
        <v>2.9956740000000002</v>
      </c>
    </row>
    <row r="43" spans="1:16" x14ac:dyDescent="0.2">
      <c r="A43" s="20">
        <f t="shared" si="1"/>
        <v>2006.75</v>
      </c>
      <c r="B43" s="4">
        <v>32850.170083427998</v>
      </c>
      <c r="C43" s="5">
        <v>98.783852354829094</v>
      </c>
      <c r="D43" s="5">
        <v>5.0366666666666697</v>
      </c>
      <c r="E43" s="5">
        <v>87.221345947108105</v>
      </c>
      <c r="F43" s="5">
        <f t="shared" si="5"/>
        <v>-0.23798621287047794</v>
      </c>
      <c r="G43" s="6">
        <v>4.9033333333333333</v>
      </c>
      <c r="H43" s="6">
        <v>94.5981194313879</v>
      </c>
      <c r="I43" s="21">
        <f t="shared" si="6"/>
        <v>0.3735547083199009</v>
      </c>
      <c r="J43" s="29">
        <f t="shared" si="7"/>
        <v>0.88984509028209313</v>
      </c>
      <c r="K43" s="6">
        <f t="shared" si="2"/>
        <v>0.2482682003002612</v>
      </c>
      <c r="L43" s="6">
        <f t="shared" si="3"/>
        <v>4.5929341536922665</v>
      </c>
      <c r="M43" s="30">
        <f t="shared" si="8"/>
        <v>2.1123629262650212</v>
      </c>
      <c r="N43" s="1">
        <v>105.11</v>
      </c>
      <c r="O43" s="1">
        <v>6.0178529999999997</v>
      </c>
      <c r="P43" s="1">
        <v>-0.26318360000000002</v>
      </c>
    </row>
    <row r="44" spans="1:16" x14ac:dyDescent="0.2">
      <c r="A44" s="20">
        <f t="shared" si="1"/>
        <v>2007</v>
      </c>
      <c r="B44" s="4">
        <v>33187.232968053002</v>
      </c>
      <c r="C44" s="5">
        <v>96.090757555596099</v>
      </c>
      <c r="D44" s="5">
        <v>4.83</v>
      </c>
      <c r="E44" s="5">
        <v>87.521169640937401</v>
      </c>
      <c r="F44" s="5">
        <f t="shared" si="5"/>
        <v>0.3431608925231977</v>
      </c>
      <c r="G44" s="6">
        <v>4.9833333333333343</v>
      </c>
      <c r="H44" s="6">
        <v>95.504218414492499</v>
      </c>
      <c r="I44" s="21">
        <f t="shared" si="6"/>
        <v>0.95328216912031749</v>
      </c>
      <c r="J44" s="29">
        <f t="shared" si="7"/>
        <v>-0.33412870294934338</v>
      </c>
      <c r="K44" s="6">
        <f t="shared" si="2"/>
        <v>0.55300437659728807</v>
      </c>
      <c r="L44" s="6">
        <f t="shared" si="3"/>
        <v>4.5652931360711504</v>
      </c>
      <c r="M44" s="30">
        <f t="shared" si="8"/>
        <v>1.0208330314492642</v>
      </c>
      <c r="N44" s="1">
        <v>100.46</v>
      </c>
      <c r="O44" s="1">
        <v>0.97492509999999999</v>
      </c>
      <c r="P44" s="1">
        <v>-4.6423870000000003</v>
      </c>
    </row>
    <row r="45" spans="1:16" x14ac:dyDescent="0.2">
      <c r="A45" s="20">
        <f t="shared" si="1"/>
        <v>2007.25</v>
      </c>
      <c r="B45" s="4">
        <v>33524.647894952999</v>
      </c>
      <c r="C45" s="5">
        <v>96.733343689099001</v>
      </c>
      <c r="D45" s="5">
        <v>4.7866666666666697</v>
      </c>
      <c r="E45" s="5">
        <v>88.8664975274135</v>
      </c>
      <c r="F45" s="5">
        <f t="shared" si="5"/>
        <v>1.525451292758806</v>
      </c>
      <c r="G45" s="6">
        <v>4.7366666666666672</v>
      </c>
      <c r="H45" s="6">
        <v>96.142895399337206</v>
      </c>
      <c r="I45" s="21">
        <f t="shared" si="6"/>
        <v>0.66651601115648162</v>
      </c>
      <c r="J45" s="29">
        <f t="shared" si="7"/>
        <v>-1.8144862901924186</v>
      </c>
      <c r="K45" s="6">
        <f t="shared" si="2"/>
        <v>0.64206819330436815</v>
      </c>
      <c r="L45" s="6">
        <f t="shared" si="3"/>
        <v>4.5719581588367513</v>
      </c>
      <c r="M45" s="30">
        <f t="shared" si="8"/>
        <v>1.0115673542625103</v>
      </c>
      <c r="N45" s="1">
        <v>105.52</v>
      </c>
      <c r="O45" s="1">
        <v>5.7452319999999997</v>
      </c>
      <c r="P45" s="1">
        <v>5.0603410000000002</v>
      </c>
    </row>
    <row r="46" spans="1:16" x14ac:dyDescent="0.2">
      <c r="A46" s="20">
        <f t="shared" si="1"/>
        <v>2007.5</v>
      </c>
      <c r="B46" s="4">
        <v>33616.815589787999</v>
      </c>
      <c r="C46" s="5">
        <v>98.039484011812206</v>
      </c>
      <c r="D46" s="5">
        <v>5.2733333333333299</v>
      </c>
      <c r="E46" s="5">
        <v>91.614573210062403</v>
      </c>
      <c r="F46" s="5">
        <f t="shared" si="5"/>
        <v>3.0455139423083644</v>
      </c>
      <c r="G46" s="6">
        <v>4.3033333333333337</v>
      </c>
      <c r="H46" s="6">
        <v>96.642497406418002</v>
      </c>
      <c r="I46" s="21">
        <f t="shared" si="6"/>
        <v>0.51829977181290232</v>
      </c>
      <c r="J46" s="29">
        <f t="shared" si="7"/>
        <v>-0.76391004543244767</v>
      </c>
      <c r="K46" s="6">
        <f t="shared" si="2"/>
        <v>0.63295368535440932</v>
      </c>
      <c r="L46" s="6">
        <f t="shared" si="3"/>
        <v>4.5853702956086506</v>
      </c>
      <c r="M46" s="30">
        <f t="shared" si="8"/>
        <v>0.27454794085617351</v>
      </c>
      <c r="N46" s="1">
        <v>104.94</v>
      </c>
      <c r="O46" s="1">
        <v>4.9018600000000001</v>
      </c>
      <c r="P46" s="1">
        <v>-0.58923340000000002</v>
      </c>
    </row>
    <row r="47" spans="1:16" x14ac:dyDescent="0.2">
      <c r="A47" s="20">
        <f t="shared" si="1"/>
        <v>2007.75</v>
      </c>
      <c r="B47" s="4">
        <v>34248.724388882998</v>
      </c>
      <c r="C47" s="5">
        <v>99.196010984447199</v>
      </c>
      <c r="D47" s="5">
        <v>5.8266666666666698</v>
      </c>
      <c r="E47" s="5">
        <v>93.533360567619894</v>
      </c>
      <c r="F47" s="5">
        <f t="shared" si="5"/>
        <v>2.0727814966845948</v>
      </c>
      <c r="G47" s="6">
        <v>3.39</v>
      </c>
      <c r="H47" s="6">
        <v>97.052415911285195</v>
      </c>
      <c r="I47" s="21">
        <f t="shared" si="6"/>
        <v>0.42326265550727271</v>
      </c>
      <c r="J47" s="29">
        <f t="shared" si="7"/>
        <v>0.35875636396220933</v>
      </c>
      <c r="K47" s="6">
        <f t="shared" si="2"/>
        <v>0.48489048952440328</v>
      </c>
      <c r="L47" s="6">
        <f t="shared" si="3"/>
        <v>4.5970978016319783</v>
      </c>
      <c r="M47" s="30">
        <f t="shared" si="8"/>
        <v>1.8622914133837654</v>
      </c>
      <c r="N47" s="1">
        <v>104.04</v>
      </c>
      <c r="O47" s="1">
        <v>3.808745</v>
      </c>
      <c r="P47" s="1">
        <v>-0.89853669999999997</v>
      </c>
    </row>
    <row r="48" spans="1:16" x14ac:dyDescent="0.2">
      <c r="A48" s="20">
        <f t="shared" si="1"/>
        <v>2008</v>
      </c>
      <c r="B48" s="4">
        <v>34970.442928358003</v>
      </c>
      <c r="C48" s="5">
        <v>105.90559622078599</v>
      </c>
      <c r="D48" s="5">
        <v>6.57</v>
      </c>
      <c r="E48" s="5">
        <v>94.533214362502704</v>
      </c>
      <c r="F48" s="5">
        <f t="shared" si="5"/>
        <v>1.0633077310203909</v>
      </c>
      <c r="G48" s="6">
        <v>2.0433333333333334</v>
      </c>
      <c r="H48" s="6">
        <v>97.3930305972262</v>
      </c>
      <c r="I48" s="21">
        <f t="shared" si="6"/>
        <v>0.35034508696805133</v>
      </c>
      <c r="J48" s="29">
        <f t="shared" si="7"/>
        <v>-0.71182059514713902</v>
      </c>
      <c r="K48" s="6">
        <f t="shared" si="2"/>
        <v>1.1773773909151686E-3</v>
      </c>
      <c r="L48" s="6">
        <f t="shared" si="3"/>
        <v>4.6625480956000596</v>
      </c>
      <c r="M48" s="30">
        <f t="shared" si="8"/>
        <v>2.0853897053095594</v>
      </c>
      <c r="N48" s="1">
        <v>101.09</v>
      </c>
      <c r="O48" s="1">
        <v>0.72882349999999996</v>
      </c>
      <c r="P48" s="1">
        <v>-2.9439160000000002</v>
      </c>
    </row>
    <row r="49" spans="1:16" x14ac:dyDescent="0.2">
      <c r="A49" s="20">
        <f t="shared" si="1"/>
        <v>2008.25</v>
      </c>
      <c r="B49" s="4">
        <v>35004.965940171001</v>
      </c>
      <c r="C49" s="5">
        <v>103.053259570368</v>
      </c>
      <c r="D49" s="5">
        <v>6.87</v>
      </c>
      <c r="E49" s="5">
        <v>96.763573425069893</v>
      </c>
      <c r="F49" s="5">
        <f t="shared" si="5"/>
        <v>2.3319368386409245</v>
      </c>
      <c r="G49" s="6">
        <v>1.6266666666666667</v>
      </c>
      <c r="H49" s="6">
        <v>97.886874606244604</v>
      </c>
      <c r="I49" s="21">
        <f t="shared" si="6"/>
        <v>0.50578175084288191</v>
      </c>
      <c r="J49" s="29">
        <f t="shared" si="7"/>
        <v>-1.7239488338485209</v>
      </c>
      <c r="K49" s="6">
        <f t="shared" si="2"/>
        <v>-0.34522332349261609</v>
      </c>
      <c r="L49" s="6">
        <f t="shared" si="3"/>
        <v>4.6352459377956379</v>
      </c>
      <c r="M49" s="30">
        <f t="shared" si="8"/>
        <v>9.8671848216902447E-2</v>
      </c>
      <c r="N49" s="1">
        <v>104.22</v>
      </c>
      <c r="O49" s="1">
        <v>3.738632</v>
      </c>
      <c r="P49" s="1">
        <v>3.129448</v>
      </c>
    </row>
    <row r="50" spans="1:16" x14ac:dyDescent="0.2">
      <c r="A50" s="20">
        <f t="shared" si="1"/>
        <v>2008.5</v>
      </c>
      <c r="B50" s="4">
        <v>34719.712777733999</v>
      </c>
      <c r="C50" s="5">
        <v>96.584665265803594</v>
      </c>
      <c r="D50" s="5">
        <v>7.57</v>
      </c>
      <c r="E50" s="5">
        <v>100.168703504623</v>
      </c>
      <c r="F50" s="5">
        <f t="shared" si="5"/>
        <v>3.458518372034991</v>
      </c>
      <c r="G50" s="6">
        <v>1.4933333333333332</v>
      </c>
      <c r="H50" s="6">
        <v>98.625787010609997</v>
      </c>
      <c r="I50" s="21">
        <f t="shared" si="6"/>
        <v>0.75202878094300374</v>
      </c>
      <c r="J50" s="29">
        <f t="shared" si="7"/>
        <v>0.43338644385153557</v>
      </c>
      <c r="K50" s="6">
        <f t="shared" si="2"/>
        <v>0.13471249418548492</v>
      </c>
      <c r="L50" s="6">
        <f t="shared" si="3"/>
        <v>4.5704199839567865</v>
      </c>
      <c r="M50" s="30">
        <f t="shared" si="8"/>
        <v>-0.81823182024862717</v>
      </c>
      <c r="N50" s="1">
        <v>102.38</v>
      </c>
      <c r="O50" s="1">
        <v>1.821755</v>
      </c>
      <c r="P50" s="1">
        <v>-1.8468249999999999</v>
      </c>
    </row>
    <row r="51" spans="1:16" x14ac:dyDescent="0.2">
      <c r="A51" s="20">
        <f t="shared" si="1"/>
        <v>2008.75</v>
      </c>
      <c r="B51" s="4">
        <v>34440.898142197002</v>
      </c>
      <c r="C51" s="5">
        <v>87.5066804596525</v>
      </c>
      <c r="D51" s="5">
        <v>8.27</v>
      </c>
      <c r="E51" s="5">
        <v>101.58252418834699</v>
      </c>
      <c r="F51" s="5">
        <f t="shared" si="5"/>
        <v>1.4015714740283514</v>
      </c>
      <c r="G51" s="6">
        <v>0.29666666666666669</v>
      </c>
      <c r="H51" s="6">
        <v>98.859046081461997</v>
      </c>
      <c r="I51" s="21">
        <f t="shared" si="6"/>
        <v>0.23622996832131093</v>
      </c>
      <c r="J51" s="29">
        <f t="shared" si="7"/>
        <v>4.590300572623085</v>
      </c>
      <c r="K51" s="6">
        <f t="shared" si="2"/>
        <v>0.12274747485545578</v>
      </c>
      <c r="L51" s="6">
        <f t="shared" si="3"/>
        <v>4.4717151385595146</v>
      </c>
      <c r="M51" s="30">
        <f t="shared" si="8"/>
        <v>-0.80628595467313602</v>
      </c>
      <c r="N51" s="1">
        <v>93.96</v>
      </c>
      <c r="O51" s="1">
        <v>-6.6048739999999997</v>
      </c>
      <c r="P51" s="1">
        <v>-8.4142910000000004</v>
      </c>
    </row>
    <row r="52" spans="1:16" x14ac:dyDescent="0.2">
      <c r="A52" s="20">
        <f t="shared" si="1"/>
        <v>2009</v>
      </c>
      <c r="B52" s="4">
        <v>34273.389766417</v>
      </c>
      <c r="C52" s="5">
        <v>93.439466664193503</v>
      </c>
      <c r="D52" s="5">
        <v>4.5966666666666702</v>
      </c>
      <c r="E52" s="5">
        <v>99.103590625671899</v>
      </c>
      <c r="F52" s="5">
        <f t="shared" si="5"/>
        <v>-2.4705841302026244</v>
      </c>
      <c r="G52" s="6">
        <v>0.21333333333333335</v>
      </c>
      <c r="H52" s="6">
        <v>98.811008783523903</v>
      </c>
      <c r="I52" s="21">
        <f t="shared" si="6"/>
        <v>-4.8603516517964351E-2</v>
      </c>
      <c r="J52" s="29">
        <f t="shared" si="7"/>
        <v>1.7356539513271763</v>
      </c>
      <c r="K52" s="6">
        <f t="shared" si="2"/>
        <v>0.22906187385989263</v>
      </c>
      <c r="L52" s="6">
        <f t="shared" si="3"/>
        <v>4.5373138112746023</v>
      </c>
      <c r="M52" s="30">
        <f t="shared" si="8"/>
        <v>-0.48755131630731086</v>
      </c>
      <c r="N52" s="1">
        <v>88.56</v>
      </c>
      <c r="O52" s="1">
        <v>-12.026389999999999</v>
      </c>
      <c r="P52" s="1">
        <v>-5.401535</v>
      </c>
    </row>
    <row r="53" spans="1:16" x14ac:dyDescent="0.2">
      <c r="A53" s="20">
        <f t="shared" si="1"/>
        <v>2009.25</v>
      </c>
      <c r="B53" s="4">
        <v>34073.795721280003</v>
      </c>
      <c r="C53" s="5">
        <v>95.405986647905706</v>
      </c>
      <c r="D53" s="5">
        <v>1.39</v>
      </c>
      <c r="E53" s="5">
        <v>98.515235433240207</v>
      </c>
      <c r="F53" s="5">
        <f t="shared" si="5"/>
        <v>-0.59544623610934266</v>
      </c>
      <c r="G53" s="6">
        <v>0.17333333333333334</v>
      </c>
      <c r="H53" s="6">
        <v>98.637876316348198</v>
      </c>
      <c r="I53" s="21">
        <f t="shared" si="6"/>
        <v>-0.17536944962719403</v>
      </c>
      <c r="J53" s="29">
        <f t="shared" si="7"/>
        <v>0.55392430213170307</v>
      </c>
      <c r="K53" s="6">
        <f t="shared" si="2"/>
        <v>-6.4621103199280494E-2</v>
      </c>
      <c r="L53" s="6">
        <f t="shared" si="3"/>
        <v>4.5581413296080475</v>
      </c>
      <c r="M53" s="30">
        <f t="shared" si="8"/>
        <v>-0.5840609561426291</v>
      </c>
      <c r="N53" s="1">
        <v>94.15</v>
      </c>
      <c r="O53" s="1">
        <v>-6.5322959999999997</v>
      </c>
      <c r="P53" s="1">
        <v>5.5931170000000003</v>
      </c>
    </row>
    <row r="54" spans="1:16" x14ac:dyDescent="0.2">
      <c r="A54" s="20">
        <f t="shared" si="1"/>
        <v>2009.5</v>
      </c>
      <c r="B54" s="4">
        <v>34481.452129078003</v>
      </c>
      <c r="C54" s="5">
        <v>94.769390106477999</v>
      </c>
      <c r="D54" s="5">
        <v>0.51666666666666705</v>
      </c>
      <c r="E54" s="5">
        <v>98.311447000645003</v>
      </c>
      <c r="F54" s="5">
        <f t="shared" si="5"/>
        <v>-0.20707406424271824</v>
      </c>
      <c r="G54" s="6">
        <v>0.15666666666666665</v>
      </c>
      <c r="H54" s="6">
        <v>98.744458904802997</v>
      </c>
      <c r="I54" s="21">
        <f t="shared" si="6"/>
        <v>0.10799608657423576</v>
      </c>
      <c r="J54" s="29">
        <f t="shared" si="7"/>
        <v>-6.8017875671555483E-2</v>
      </c>
      <c r="K54" s="6">
        <f t="shared" si="2"/>
        <v>-0.2884569231495715</v>
      </c>
      <c r="L54" s="6">
        <f t="shared" si="3"/>
        <v>4.5514464679488702</v>
      </c>
      <c r="M54" s="30">
        <f t="shared" si="8"/>
        <v>1.1892925065149385</v>
      </c>
      <c r="N54" s="1">
        <v>96.38</v>
      </c>
      <c r="O54" s="1">
        <v>-4.3926949999999998</v>
      </c>
      <c r="P54" s="1">
        <v>2.2269130000000001</v>
      </c>
    </row>
    <row r="55" spans="1:16" x14ac:dyDescent="0.2">
      <c r="A55" s="20">
        <f t="shared" si="1"/>
        <v>2009.75</v>
      </c>
      <c r="B55" s="4">
        <v>34905.582442134</v>
      </c>
      <c r="C55" s="5">
        <v>96.918626465155597</v>
      </c>
      <c r="D55" s="5">
        <v>0.483333333333333</v>
      </c>
      <c r="E55" s="5">
        <v>98.505379488282102</v>
      </c>
      <c r="F55" s="5">
        <f t="shared" si="5"/>
        <v>0.19706907570871124</v>
      </c>
      <c r="G55" s="6">
        <v>5.6666666666666671E-2</v>
      </c>
      <c r="H55" s="6">
        <v>99.069415694128907</v>
      </c>
      <c r="I55" s="21">
        <f t="shared" si="6"/>
        <v>0.32854832078310636</v>
      </c>
      <c r="J55" s="29">
        <f t="shared" si="7"/>
        <v>-0.22537366044368401</v>
      </c>
      <c r="K55" s="6">
        <f t="shared" si="2"/>
        <v>-0.25709606285444497</v>
      </c>
      <c r="L55" s="6">
        <f t="shared" si="3"/>
        <v>4.5738717240067519</v>
      </c>
      <c r="M55" s="30">
        <f t="shared" si="8"/>
        <v>1.2225211757744603</v>
      </c>
      <c r="N55" s="1">
        <v>99.22</v>
      </c>
      <c r="O55" s="1">
        <v>-1.6523600000000001</v>
      </c>
      <c r="P55" s="1">
        <v>2.841469</v>
      </c>
    </row>
    <row r="56" spans="1:16" x14ac:dyDescent="0.2">
      <c r="A56" s="20">
        <f t="shared" si="1"/>
        <v>2010</v>
      </c>
      <c r="B56" s="4">
        <v>35018.501546624</v>
      </c>
      <c r="C56" s="5">
        <v>98.3598774890134</v>
      </c>
      <c r="D56" s="5">
        <v>0.483333333333333</v>
      </c>
      <c r="E56" s="5">
        <v>98.847559664588303</v>
      </c>
      <c r="F56" s="5">
        <f t="shared" si="5"/>
        <v>0.34677012733288493</v>
      </c>
      <c r="G56" s="6">
        <v>0.10666666666666665</v>
      </c>
      <c r="H56" s="6">
        <v>99.339210502134705</v>
      </c>
      <c r="I56" s="21">
        <f t="shared" si="6"/>
        <v>0.27195891576416997</v>
      </c>
      <c r="J56" s="29">
        <f t="shared" si="7"/>
        <v>-0.722293760562287</v>
      </c>
      <c r="K56" s="6">
        <f t="shared" si="2"/>
        <v>-0.45763572838993793</v>
      </c>
      <c r="L56" s="6">
        <f t="shared" si="3"/>
        <v>4.588632971810549</v>
      </c>
      <c r="M56" s="30">
        <f t="shared" si="8"/>
        <v>0.32297656603326175</v>
      </c>
      <c r="N56" s="1">
        <v>102.17</v>
      </c>
      <c r="O56" s="1">
        <v>1.1906810000000001</v>
      </c>
      <c r="P56" s="1">
        <v>2.949478</v>
      </c>
    </row>
    <row r="57" spans="1:16" x14ac:dyDescent="0.2">
      <c r="A57" s="20">
        <f t="shared" si="1"/>
        <v>2010.25</v>
      </c>
      <c r="B57" s="4">
        <v>36206.825460412001</v>
      </c>
      <c r="C57" s="5">
        <v>98.148922084384694</v>
      </c>
      <c r="D57" s="5">
        <v>1.44</v>
      </c>
      <c r="E57" s="5">
        <v>99.690389163620694</v>
      </c>
      <c r="F57" s="5">
        <f t="shared" si="5"/>
        <v>0.8490412710475681</v>
      </c>
      <c r="G57" s="6">
        <v>0.14666666666666667</v>
      </c>
      <c r="H57" s="6">
        <v>99.823691445444894</v>
      </c>
      <c r="I57" s="21">
        <f t="shared" si="6"/>
        <v>0.48651821620460112</v>
      </c>
      <c r="J57" s="29">
        <f t="shared" si="7"/>
        <v>-0.46711551633453752</v>
      </c>
      <c r="K57" s="6">
        <f t="shared" si="2"/>
        <v>-0.26412535361249878</v>
      </c>
      <c r="L57" s="6">
        <f t="shared" si="3"/>
        <v>4.5864859383329195</v>
      </c>
      <c r="M57" s="30">
        <f t="shared" si="8"/>
        <v>3.3371112249607648</v>
      </c>
      <c r="N57" s="1">
        <v>103.24</v>
      </c>
      <c r="O57" s="1">
        <v>2.1768480000000001</v>
      </c>
      <c r="P57" s="1">
        <v>1.0709230000000001</v>
      </c>
    </row>
    <row r="58" spans="1:16" x14ac:dyDescent="0.2">
      <c r="A58" s="20">
        <f t="shared" si="1"/>
        <v>2010.5</v>
      </c>
      <c r="B58" s="4">
        <v>37056.737978771998</v>
      </c>
      <c r="C58" s="5">
        <v>100.390911155818</v>
      </c>
      <c r="D58" s="5">
        <v>2.4366666666666701</v>
      </c>
      <c r="E58" s="5">
        <v>100.520318211137</v>
      </c>
      <c r="F58" s="5">
        <f t="shared" si="5"/>
        <v>0.82906035555838642</v>
      </c>
      <c r="G58" s="6">
        <v>0.15666666666666665</v>
      </c>
      <c r="H58" s="6">
        <v>100.125182516395</v>
      </c>
      <c r="I58" s="21">
        <f t="shared" si="6"/>
        <v>0.30156838942376751</v>
      </c>
      <c r="J58" s="29">
        <f t="shared" si="7"/>
        <v>0.18454908174070361</v>
      </c>
      <c r="K58" s="6">
        <f t="shared" si="2"/>
        <v>-0.54197875198614964</v>
      </c>
      <c r="L58" s="6">
        <f t="shared" si="3"/>
        <v>4.6090716768233984</v>
      </c>
      <c r="M58" s="30">
        <f t="shared" si="8"/>
        <v>2.3202547293637465</v>
      </c>
      <c r="N58" s="1">
        <v>100.91</v>
      </c>
      <c r="O58" s="1">
        <v>-0.18922510000000001</v>
      </c>
      <c r="P58" s="1">
        <v>-2.3296510000000001</v>
      </c>
    </row>
    <row r="59" spans="1:16" x14ac:dyDescent="0.2">
      <c r="A59" s="20">
        <f t="shared" si="1"/>
        <v>2010.75</v>
      </c>
      <c r="B59" s="4">
        <v>37497.663266754003</v>
      </c>
      <c r="C59" s="5">
        <v>103.10028927078299</v>
      </c>
      <c r="D59" s="5">
        <v>3.29</v>
      </c>
      <c r="E59" s="5">
        <v>100.94173296065399</v>
      </c>
      <c r="F59" s="5">
        <f t="shared" si="5"/>
        <v>0.41835706695962926</v>
      </c>
      <c r="G59" s="6">
        <v>0.13666666666666669</v>
      </c>
      <c r="H59" s="6">
        <v>100.711915536026</v>
      </c>
      <c r="I59" s="21">
        <f t="shared" si="6"/>
        <v>0.58428915229811196</v>
      </c>
      <c r="J59" s="29">
        <f t="shared" si="7"/>
        <v>3.150700835627962E-2</v>
      </c>
      <c r="K59" s="6">
        <f t="shared" si="2"/>
        <v>-0.47838110238112019</v>
      </c>
      <c r="L59" s="6">
        <f t="shared" si="3"/>
        <v>4.6357021967491718</v>
      </c>
      <c r="M59" s="30">
        <f t="shared" si="8"/>
        <v>1.1828421165805736</v>
      </c>
      <c r="N59" s="1">
        <v>104.22</v>
      </c>
      <c r="O59" s="1">
        <v>3.0333000000000001</v>
      </c>
      <c r="P59" s="1">
        <v>3.3037800000000002</v>
      </c>
    </row>
    <row r="60" spans="1:16" x14ac:dyDescent="0.2">
      <c r="A60" s="20">
        <f t="shared" si="1"/>
        <v>2011</v>
      </c>
      <c r="B60" s="4">
        <v>37934.756898790001</v>
      </c>
      <c r="C60" s="5">
        <v>102.02638332022001</v>
      </c>
      <c r="D60" s="5">
        <v>3.91333333333333</v>
      </c>
      <c r="E60" s="5">
        <v>101.732960653623</v>
      </c>
      <c r="F60" s="5">
        <f t="shared" si="5"/>
        <v>0.78078984456100287</v>
      </c>
      <c r="G60" s="6">
        <v>0.12666666666666668</v>
      </c>
      <c r="H60" s="6">
        <v>101.231913593634</v>
      </c>
      <c r="I60" s="21">
        <f t="shared" si="6"/>
        <v>0.51499390610292295</v>
      </c>
      <c r="J60" s="29">
        <f t="shared" si="7"/>
        <v>-0.2551102707120112</v>
      </c>
      <c r="K60" s="6">
        <f t="shared" si="2"/>
        <v>-0.62205011739768779</v>
      </c>
      <c r="L60" s="6">
        <f t="shared" si="3"/>
        <v>4.6252314398396974</v>
      </c>
      <c r="M60" s="30">
        <f t="shared" si="8"/>
        <v>1.1589142259293084</v>
      </c>
      <c r="N60" s="1">
        <v>106.03</v>
      </c>
      <c r="O60" s="1">
        <v>4.8006169999999999</v>
      </c>
      <c r="P60" s="1">
        <v>1.811707</v>
      </c>
    </row>
    <row r="61" spans="1:16" x14ac:dyDescent="0.2">
      <c r="A61" s="20">
        <f t="shared" si="1"/>
        <v>2011.25</v>
      </c>
      <c r="B61" s="4">
        <v>38479.805079135003</v>
      </c>
      <c r="C61" s="5">
        <v>102.12369231798699</v>
      </c>
      <c r="D61" s="5">
        <v>5.31</v>
      </c>
      <c r="E61" s="5">
        <v>102.984304450656</v>
      </c>
      <c r="F61" s="5">
        <f t="shared" si="5"/>
        <v>1.2225245208227875</v>
      </c>
      <c r="G61" s="6">
        <v>4.6666666666666669E-2</v>
      </c>
      <c r="H61" s="6">
        <v>101.900005524878</v>
      </c>
      <c r="I61" s="21">
        <f t="shared" si="6"/>
        <v>0.65779355910882131</v>
      </c>
      <c r="J61" s="29">
        <f t="shared" si="7"/>
        <v>0.64837462957096914</v>
      </c>
      <c r="K61" s="6">
        <f t="shared" si="2"/>
        <v>-0.6011688513630653</v>
      </c>
      <c r="L61" s="6">
        <f t="shared" si="3"/>
        <v>4.6261847483783525</v>
      </c>
      <c r="M61" s="30">
        <f t="shared" si="8"/>
        <v>1.4265799866063134</v>
      </c>
      <c r="N61" s="1">
        <v>104.69</v>
      </c>
      <c r="O61" s="1">
        <v>3.4771670000000001</v>
      </c>
      <c r="P61" s="1">
        <v>-1.3399350000000001</v>
      </c>
    </row>
    <row r="62" spans="1:16" x14ac:dyDescent="0.2">
      <c r="A62" s="20">
        <f t="shared" si="1"/>
        <v>2011.5</v>
      </c>
      <c r="B62" s="4">
        <v>38726.610263729002</v>
      </c>
      <c r="C62" s="5">
        <v>101.83537796741101</v>
      </c>
      <c r="D62" s="5">
        <v>5.3966666666666701</v>
      </c>
      <c r="E62" s="5">
        <v>103.655127929478</v>
      </c>
      <c r="F62" s="5">
        <f t="shared" si="5"/>
        <v>0.64927185258163433</v>
      </c>
      <c r="G62" s="6">
        <v>2.3333333333333331E-2</v>
      </c>
      <c r="H62" s="6">
        <v>102.530200445753</v>
      </c>
      <c r="I62" s="21">
        <f t="shared" si="6"/>
        <v>0.61653992289132376</v>
      </c>
      <c r="J62" s="29">
        <f t="shared" si="7"/>
        <v>4.0239225275873203E-2</v>
      </c>
      <c r="K62" s="6">
        <f t="shared" si="2"/>
        <v>-0.11447203874286327</v>
      </c>
      <c r="L62" s="6">
        <f t="shared" si="3"/>
        <v>4.6233575679816905</v>
      </c>
      <c r="M62" s="30">
        <f t="shared" si="8"/>
        <v>0.63934071849089946</v>
      </c>
      <c r="N62" s="1">
        <v>104.64</v>
      </c>
      <c r="O62" s="1">
        <v>3.4508200000000002</v>
      </c>
      <c r="P62" s="1">
        <v>-5.2009600000000003E-2</v>
      </c>
    </row>
    <row r="63" spans="1:16" x14ac:dyDescent="0.2">
      <c r="A63" s="20">
        <f t="shared" si="1"/>
        <v>2011.75</v>
      </c>
      <c r="B63" s="4">
        <v>39568.859204164</v>
      </c>
      <c r="C63" s="5">
        <v>96.853100172648794</v>
      </c>
      <c r="D63" s="5">
        <v>5.125</v>
      </c>
      <c r="E63" s="5">
        <v>104.992474736616</v>
      </c>
      <c r="F63" s="5">
        <f t="shared" si="5"/>
        <v>1.2819367244458313</v>
      </c>
      <c r="G63" s="6">
        <v>1.3333333333333334E-2</v>
      </c>
      <c r="H63" s="6">
        <v>102.653765020693</v>
      </c>
      <c r="I63" s="21">
        <f t="shared" si="6"/>
        <v>0.12044273498323932</v>
      </c>
      <c r="J63" s="29">
        <f t="shared" si="7"/>
        <v>0.34501051947506411</v>
      </c>
      <c r="K63" s="6">
        <f t="shared" si="2"/>
        <v>-0.59839740967112531</v>
      </c>
      <c r="L63" s="6">
        <f t="shared" si="3"/>
        <v>4.5731953993835317</v>
      </c>
      <c r="M63" s="30">
        <f t="shared" si="8"/>
        <v>2.1515457706778207</v>
      </c>
      <c r="N63" s="1">
        <v>99.5</v>
      </c>
      <c r="O63" s="1">
        <v>-1.579016</v>
      </c>
      <c r="P63" s="1">
        <v>-5.1321409999999998</v>
      </c>
    </row>
    <row r="64" spans="1:16" x14ac:dyDescent="0.2">
      <c r="A64" s="20">
        <f t="shared" si="1"/>
        <v>2012</v>
      </c>
      <c r="B64" s="4">
        <v>40382.123499139998</v>
      </c>
      <c r="C64" s="5">
        <v>101.562665643985</v>
      </c>
      <c r="D64" s="5">
        <v>4.9633333333333303</v>
      </c>
      <c r="E64" s="5">
        <v>105.95140829928999</v>
      </c>
      <c r="F64" s="5">
        <f t="shared" si="5"/>
        <v>0.90918983241117246</v>
      </c>
      <c r="G64" s="6">
        <v>6.6666666666666666E-2</v>
      </c>
      <c r="H64" s="6">
        <v>103.27706734587299</v>
      </c>
      <c r="I64" s="21">
        <f t="shared" si="6"/>
        <v>0.60535299298010159</v>
      </c>
      <c r="J64" s="29">
        <f t="shared" si="7"/>
        <v>1.0054401337752816</v>
      </c>
      <c r="K64" s="6">
        <f t="shared" si="2"/>
        <v>-0.3839961255565183</v>
      </c>
      <c r="L64" s="6">
        <f t="shared" si="3"/>
        <v>4.620676003478887</v>
      </c>
      <c r="M64" s="30">
        <f t="shared" si="8"/>
        <v>2.0344774230188989</v>
      </c>
      <c r="N64" s="1">
        <v>100.73</v>
      </c>
      <c r="O64" s="1">
        <v>-0.302261</v>
      </c>
      <c r="P64" s="1">
        <v>1.2294240000000001</v>
      </c>
    </row>
    <row r="65" spans="1:16" x14ac:dyDescent="0.2">
      <c r="A65" s="20">
        <f t="shared" si="1"/>
        <v>2012.25</v>
      </c>
      <c r="B65" s="4">
        <v>41130.619483934002</v>
      </c>
      <c r="C65" s="5">
        <v>101.366653820012</v>
      </c>
      <c r="D65" s="5">
        <v>5.1050000000000004</v>
      </c>
      <c r="E65" s="5">
        <v>106.175016125564</v>
      </c>
      <c r="F65" s="5">
        <f t="shared" si="5"/>
        <v>0.21082513383534618</v>
      </c>
      <c r="G65" s="6">
        <v>8.666666666666667E-2</v>
      </c>
      <c r="H65" s="6">
        <v>103.6932873465</v>
      </c>
      <c r="I65" s="21">
        <f t="shared" si="6"/>
        <v>0.40220307138714162</v>
      </c>
      <c r="J65" s="29">
        <f t="shared" si="7"/>
        <v>1.0481022969389908</v>
      </c>
      <c r="K65" s="6">
        <f t="shared" si="2"/>
        <v>-0.49225601198864544</v>
      </c>
      <c r="L65" s="6">
        <f t="shared" si="3"/>
        <v>4.6187441792806929</v>
      </c>
      <c r="M65" s="30">
        <f t="shared" si="8"/>
        <v>1.8365644341326259</v>
      </c>
      <c r="N65" s="1">
        <v>101.01</v>
      </c>
      <c r="O65" s="1">
        <v>4.8168999999999997E-2</v>
      </c>
      <c r="P65" s="1">
        <v>0.28015899999999999</v>
      </c>
    </row>
    <row r="66" spans="1:16" x14ac:dyDescent="0.2">
      <c r="A66" s="20">
        <f t="shared" si="1"/>
        <v>2012.5</v>
      </c>
      <c r="B66" s="4">
        <v>41450.259695130997</v>
      </c>
      <c r="C66" s="5">
        <v>104.33560008214199</v>
      </c>
      <c r="D66" s="5">
        <v>4.96</v>
      </c>
      <c r="E66" s="5">
        <v>106.390023650828</v>
      </c>
      <c r="F66" s="5">
        <f t="shared" si="5"/>
        <v>0.20229817548162998</v>
      </c>
      <c r="G66" s="6">
        <v>0.10333333333333333</v>
      </c>
      <c r="H66" s="6">
        <v>104.230204840954</v>
      </c>
      <c r="I66" s="21">
        <f t="shared" si="6"/>
        <v>0.51645793578476429</v>
      </c>
      <c r="J66" s="29">
        <f t="shared" si="7"/>
        <v>0.38121790411898004</v>
      </c>
      <c r="K66" s="6">
        <f t="shared" si="2"/>
        <v>-0.47802368628695469</v>
      </c>
      <c r="L66" s="6">
        <f t="shared" si="3"/>
        <v>4.6476126276629568</v>
      </c>
      <c r="M66" s="30">
        <f t="shared" si="8"/>
        <v>0.77413030873518807</v>
      </c>
      <c r="N66" s="1">
        <v>100.02</v>
      </c>
      <c r="O66" s="1">
        <v>-0.85717620000000005</v>
      </c>
      <c r="P66" s="1">
        <v>-0.99594119999999997</v>
      </c>
    </row>
    <row r="67" spans="1:16" x14ac:dyDescent="0.2">
      <c r="A67" s="20">
        <f t="shared" si="1"/>
        <v>2012.75</v>
      </c>
      <c r="B67" s="4">
        <v>41696.323498115002</v>
      </c>
      <c r="C67" s="8">
        <v>104.343668880116</v>
      </c>
      <c r="D67" s="5">
        <f>(D66+D68)/2</f>
        <v>5.0199999999999996</v>
      </c>
      <c r="E67" s="5">
        <v>107.28015480541799</v>
      </c>
      <c r="F67" s="5">
        <f t="shared" si="5"/>
        <v>0.83318721445442279</v>
      </c>
      <c r="G67" s="6">
        <v>8.666666666666667E-2</v>
      </c>
      <c r="H67" s="6">
        <v>104.759226068092</v>
      </c>
      <c r="I67" s="21">
        <f t="shared" si="6"/>
        <v>0.50626709184831142</v>
      </c>
      <c r="J67" s="29">
        <f t="shared" si="7"/>
        <v>1.0176672439526691</v>
      </c>
      <c r="K67" s="6">
        <f t="shared" si="2"/>
        <v>-0.37555254471757227</v>
      </c>
      <c r="L67" s="6">
        <f t="shared" si="3"/>
        <v>4.647689959714369</v>
      </c>
      <c r="M67" s="30">
        <f t="shared" si="8"/>
        <v>0.59188125809317427</v>
      </c>
      <c r="N67" s="1">
        <v>100.83</v>
      </c>
      <c r="O67" s="1">
        <v>3.6265499999999999E-2</v>
      </c>
      <c r="P67" s="1">
        <v>0.81365200000000004</v>
      </c>
    </row>
    <row r="68" spans="1:16" x14ac:dyDescent="0.2">
      <c r="A68" s="20">
        <f t="shared" si="1"/>
        <v>2013</v>
      </c>
      <c r="B68" s="4">
        <v>42064.411826937998</v>
      </c>
      <c r="C68" s="5">
        <v>105.061724804495</v>
      </c>
      <c r="D68" s="5">
        <v>5.08</v>
      </c>
      <c r="E68" s="5">
        <v>107.508062782197</v>
      </c>
      <c r="F68" s="5">
        <f t="shared" si="5"/>
        <v>0.21221654043444005</v>
      </c>
      <c r="G68" s="6">
        <v>8.666666666666667E-2</v>
      </c>
      <c r="H68" s="6">
        <v>105.17774487617601</v>
      </c>
      <c r="I68" s="21">
        <f t="shared" si="6"/>
        <v>0.39870953708796009</v>
      </c>
      <c r="J68" s="29">
        <f t="shared" si="7"/>
        <v>1.2303044069295499</v>
      </c>
      <c r="K68" s="6">
        <f t="shared" si="2"/>
        <v>-0.26137956509987292</v>
      </c>
      <c r="L68" s="6">
        <f t="shared" si="3"/>
        <v>4.6545480327191981</v>
      </c>
      <c r="M68" s="30">
        <f t="shared" si="8"/>
        <v>0.87890990189336549</v>
      </c>
      <c r="N68" s="1">
        <v>101.56</v>
      </c>
      <c r="O68" s="1">
        <v>0.84939149999999997</v>
      </c>
      <c r="P68" s="1">
        <v>0.72923280000000001</v>
      </c>
    </row>
    <row r="69" spans="1:16" x14ac:dyDescent="0.2">
      <c r="A69" s="20">
        <f t="shared" si="1"/>
        <v>2013.25</v>
      </c>
      <c r="B69" s="4">
        <v>42395.386291285002</v>
      </c>
      <c r="C69" s="5">
        <v>102.94071897709</v>
      </c>
      <c r="D69" s="5">
        <v>4.9733333333333301</v>
      </c>
      <c r="E69" s="5">
        <v>107.52526338421799</v>
      </c>
      <c r="F69" s="5">
        <f t="shared" si="5"/>
        <v>1.5998080264356673E-2</v>
      </c>
      <c r="G69" s="6">
        <v>5.000000000000001E-2</v>
      </c>
      <c r="H69" s="6">
        <v>105.47664317586</v>
      </c>
      <c r="I69" s="21">
        <f t="shared" si="6"/>
        <v>0.28378093904199986</v>
      </c>
      <c r="J69" s="29">
        <f t="shared" si="7"/>
        <v>0.1962405029030112</v>
      </c>
      <c r="K69" s="6">
        <f t="shared" si="2"/>
        <v>-0.45547104772237779</v>
      </c>
      <c r="L69" s="6">
        <f t="shared" si="3"/>
        <v>4.6341532786289141</v>
      </c>
      <c r="M69" s="30">
        <f t="shared" si="8"/>
        <v>0.78374840084123321</v>
      </c>
      <c r="N69" s="1">
        <v>100.17</v>
      </c>
      <c r="O69" s="1">
        <v>-0.44088680000000002</v>
      </c>
      <c r="P69" s="1">
        <v>-1.3873899999999999</v>
      </c>
    </row>
    <row r="70" spans="1:16" x14ac:dyDescent="0.2">
      <c r="A70" s="20">
        <f t="shared" si="1"/>
        <v>2013.5</v>
      </c>
      <c r="B70" s="4">
        <v>42630.215820142999</v>
      </c>
      <c r="C70" s="5">
        <v>99.786804230219502</v>
      </c>
      <c r="D70" s="5">
        <v>4.8150000000000004</v>
      </c>
      <c r="E70" s="5">
        <v>108.630402064072</v>
      </c>
      <c r="F70" s="5">
        <f t="shared" si="5"/>
        <v>1.0225485480918728</v>
      </c>
      <c r="G70" s="6">
        <v>3.3333333333333333E-2</v>
      </c>
      <c r="H70" s="6">
        <v>105.97366670098199</v>
      </c>
      <c r="I70" s="21">
        <f t="shared" si="6"/>
        <v>0.47010991923031042</v>
      </c>
      <c r="J70" s="29">
        <f t="shared" si="7"/>
        <v>0.15315987643065299</v>
      </c>
      <c r="K70" s="6">
        <f t="shared" si="2"/>
        <v>-0.5840114640543459</v>
      </c>
      <c r="L70" s="6">
        <f t="shared" si="3"/>
        <v>4.6030359524332107</v>
      </c>
      <c r="M70" s="30">
        <f t="shared" si="8"/>
        <v>0.55237509671428597</v>
      </c>
      <c r="N70" s="1">
        <v>99.15</v>
      </c>
      <c r="O70" s="1">
        <v>-1.378525</v>
      </c>
      <c r="P70" s="1">
        <v>-1.025841</v>
      </c>
    </row>
    <row r="71" spans="1:16" x14ac:dyDescent="0.2">
      <c r="A71" s="20">
        <f t="shared" si="1"/>
        <v>2013.75</v>
      </c>
      <c r="B71" s="4">
        <v>42811.096125611999</v>
      </c>
      <c r="C71" s="8">
        <v>97.661104345057396</v>
      </c>
      <c r="D71" s="5">
        <f>(D70+D72)/2</f>
        <v>4.5208333333333357</v>
      </c>
      <c r="E71" s="5">
        <v>109.752741345947</v>
      </c>
      <c r="F71" s="5">
        <f t="shared" si="5"/>
        <v>1.0278716074710204</v>
      </c>
      <c r="G71" s="6">
        <v>6.3333333333333339E-2</v>
      </c>
      <c r="H71" s="6">
        <v>106.606967443649</v>
      </c>
      <c r="I71" s="21">
        <f t="shared" si="6"/>
        <v>0.59582343307820196</v>
      </c>
      <c r="J71" s="29">
        <f t="shared" si="7"/>
        <v>-0.1861766697362488</v>
      </c>
      <c r="K71" s="6">
        <f t="shared" si="2"/>
        <v>-0.39839424727488026</v>
      </c>
      <c r="L71" s="6">
        <f t="shared" si="3"/>
        <v>4.5815033666287368</v>
      </c>
      <c r="M71" s="30">
        <f t="shared" si="8"/>
        <v>0.4234030858611959</v>
      </c>
      <c r="N71" s="1">
        <v>99.89</v>
      </c>
      <c r="O71" s="1">
        <v>-0.5635812</v>
      </c>
      <c r="P71" s="1">
        <v>0.74434659999999997</v>
      </c>
    </row>
    <row r="72" spans="1:16" x14ac:dyDescent="0.2">
      <c r="A72" s="20">
        <f t="shared" si="1"/>
        <v>2014</v>
      </c>
      <c r="B72" s="4">
        <v>42979.119044286999</v>
      </c>
      <c r="C72" s="5">
        <v>93.054370160650507</v>
      </c>
      <c r="D72" s="5">
        <v>4.2266666666666701</v>
      </c>
      <c r="E72" s="5">
        <v>111.18899161470701</v>
      </c>
      <c r="F72" s="5">
        <f t="shared" si="5"/>
        <v>1.3001350906884923</v>
      </c>
      <c r="G72" s="6">
        <v>4.6666666666666669E-2</v>
      </c>
      <c r="H72" s="6">
        <v>107.051248409076</v>
      </c>
      <c r="I72" s="21">
        <f t="shared" si="6"/>
        <v>0.4158806662299952</v>
      </c>
      <c r="J72" s="29">
        <f t="shared" ref="J72:J105" si="9" xml:space="preserve"> 100 * ((1 + D72 * 0.01) ^ 0.25 / (1 + F73 * 0.01) - 1)</f>
        <v>-0.53208681242468137</v>
      </c>
      <c r="K72" s="6">
        <f t="shared" si="2"/>
        <v>-0.54955036543264946</v>
      </c>
      <c r="L72" s="6">
        <f t="shared" si="3"/>
        <v>4.5331839477097517</v>
      </c>
      <c r="M72" s="30">
        <f t="shared" si="8"/>
        <v>0.39170698704875662</v>
      </c>
      <c r="N72" s="1">
        <v>100.59</v>
      </c>
      <c r="O72" s="1">
        <v>0.19454940000000001</v>
      </c>
      <c r="P72" s="1">
        <v>0.69684599999999997</v>
      </c>
    </row>
    <row r="73" spans="1:16" x14ac:dyDescent="0.2">
      <c r="A73" s="20">
        <f t="shared" ref="A73:A105" si="10">+A72+0.25</f>
        <v>2014.25</v>
      </c>
      <c r="B73" s="4">
        <v>43254.310459701999</v>
      </c>
      <c r="C73" s="5">
        <v>92.541110021780298</v>
      </c>
      <c r="D73" s="5">
        <v>3.835</v>
      </c>
      <c r="E73" s="5">
        <v>112.960653622877</v>
      </c>
      <c r="F73" s="5">
        <f t="shared" si="5"/>
        <v>1.5808179404286804</v>
      </c>
      <c r="G73" s="6">
        <v>3.3333333333333333E-2</v>
      </c>
      <c r="H73" s="6">
        <v>107.657063687484</v>
      </c>
      <c r="I73" s="21">
        <f t="shared" si="6"/>
        <v>0.56431619268737521</v>
      </c>
      <c r="J73" s="29">
        <f t="shared" si="9"/>
        <v>6.9137582144263021E-2</v>
      </c>
      <c r="K73" s="6">
        <f t="shared" ref="K73:K105" si="11" xml:space="preserve"> 100 * ((1 + G73 * 0.01) ^ 0.25 / (1 + I74 * 0.01) - 1)</f>
        <v>-0.42524068389666603</v>
      </c>
      <c r="L73" s="6">
        <f t="shared" ref="L73:L105" si="12">LN(C73)</f>
        <v>4.5276529784553281</v>
      </c>
      <c r="M73" s="30">
        <f t="shared" ref="M73:M105" si="13" xml:space="preserve"> 100 * (LN(B73) - LN(B72))</f>
        <v>0.63824980912130513</v>
      </c>
      <c r="N73" s="1">
        <v>99.05</v>
      </c>
      <c r="O73" s="1">
        <v>-1.283644</v>
      </c>
      <c r="P73" s="1">
        <v>-1.5350490000000001</v>
      </c>
    </row>
    <row r="74" spans="1:16" x14ac:dyDescent="0.2">
      <c r="A74" s="20">
        <f t="shared" si="10"/>
        <v>2014.5</v>
      </c>
      <c r="B74" s="4">
        <v>43051.705068096002</v>
      </c>
      <c r="C74" s="5">
        <v>90.414149156034597</v>
      </c>
      <c r="D74" s="5">
        <v>3.77</v>
      </c>
      <c r="E74" s="5">
        <v>113.953988389594</v>
      </c>
      <c r="F74" s="5">
        <f t="shared" ref="F74:F105" si="14">100*(LN(E74)-LN(E73))</f>
        <v>0.87551962545164841</v>
      </c>
      <c r="G74" s="6">
        <v>2.6666666666666668E-2</v>
      </c>
      <c r="H74" s="6">
        <v>108.126851045538</v>
      </c>
      <c r="I74" s="21">
        <f t="shared" ref="I74:I105" si="15">100*(LN(H74)-LN(H73))</f>
        <v>0.4354245782201005</v>
      </c>
      <c r="J74" s="29">
        <f t="shared" si="9"/>
        <v>-0.63669523170177822</v>
      </c>
      <c r="K74" s="6">
        <f t="shared" si="11"/>
        <v>-0.15927149740450064</v>
      </c>
      <c r="L74" s="6">
        <f t="shared" si="12"/>
        <v>4.5044007723633621</v>
      </c>
      <c r="M74" s="30">
        <f t="shared" si="13"/>
        <v>-0.46950554383791143</v>
      </c>
      <c r="N74" s="1">
        <v>99.77</v>
      </c>
      <c r="O74" s="1">
        <v>-0.5347537</v>
      </c>
      <c r="P74" s="1">
        <v>0.71510309999999999</v>
      </c>
    </row>
    <row r="75" spans="1:16" x14ac:dyDescent="0.2">
      <c r="A75" s="20">
        <f t="shared" si="10"/>
        <v>2014.75</v>
      </c>
      <c r="B75" s="4">
        <v>43552.762185357002</v>
      </c>
      <c r="C75" s="8">
        <v>91.5017334158007</v>
      </c>
      <c r="D75" s="5">
        <f>(D74+D76)/2</f>
        <v>3.1216666666666653</v>
      </c>
      <c r="E75" s="5">
        <v>115.764351752311</v>
      </c>
      <c r="F75" s="5">
        <f t="shared" si="14"/>
        <v>1.5761918196933955</v>
      </c>
      <c r="G75" s="6">
        <v>2.3333333333333334E-2</v>
      </c>
      <c r="H75" s="6">
        <v>108.30670968497201</v>
      </c>
      <c r="I75" s="21">
        <f t="shared" si="15"/>
        <v>0.16620221025718251</v>
      </c>
      <c r="J75" s="29">
        <f t="shared" si="9"/>
        <v>0.52158015027725657</v>
      </c>
      <c r="K75" s="6">
        <f t="shared" si="11"/>
        <v>4.1353486936168693E-2</v>
      </c>
      <c r="L75" s="6">
        <f t="shared" si="12"/>
        <v>4.5163579165370127</v>
      </c>
      <c r="M75" s="30">
        <f t="shared" si="13"/>
        <v>1.1571290116604516</v>
      </c>
      <c r="N75" s="1">
        <v>99.57</v>
      </c>
      <c r="O75" s="1">
        <v>-0.70962910000000001</v>
      </c>
      <c r="P75" s="1">
        <v>-0.19512940000000001</v>
      </c>
    </row>
    <row r="76" spans="1:16" x14ac:dyDescent="0.2">
      <c r="A76" s="20">
        <f t="shared" si="10"/>
        <v>2015</v>
      </c>
      <c r="B76" s="4">
        <v>43890.519550518999</v>
      </c>
      <c r="C76" s="5">
        <v>91.882941011916699</v>
      </c>
      <c r="D76" s="5">
        <v>2.4733333333333301</v>
      </c>
      <c r="E76" s="5">
        <v>116.052461836164</v>
      </c>
      <c r="F76" s="5">
        <f t="shared" si="14"/>
        <v>0.24856715760632753</v>
      </c>
      <c r="G76" s="6">
        <v>2.6666666666666668E-2</v>
      </c>
      <c r="H76" s="6">
        <v>108.26826115139001</v>
      </c>
      <c r="I76" s="21">
        <f t="shared" si="15"/>
        <v>-3.5505980988848052E-2</v>
      </c>
      <c r="J76" s="29">
        <f t="shared" si="9"/>
        <v>-0.77112507722861823</v>
      </c>
      <c r="K76" s="6">
        <f t="shared" si="11"/>
        <v>-0.53062196908796322</v>
      </c>
      <c r="L76" s="6">
        <f t="shared" si="12"/>
        <v>4.5205153865806702</v>
      </c>
      <c r="M76" s="30">
        <f t="shared" si="13"/>
        <v>0.77252142921757638</v>
      </c>
      <c r="N76" s="1">
        <v>100.58</v>
      </c>
      <c r="O76" s="1">
        <v>0.29735210000000001</v>
      </c>
      <c r="P76" s="1">
        <v>1.00779</v>
      </c>
    </row>
    <row r="77" spans="1:16" x14ac:dyDescent="0.2">
      <c r="A77" s="20">
        <f t="shared" si="10"/>
        <v>2015.25</v>
      </c>
      <c r="B77" s="4">
        <v>44234.001789209004</v>
      </c>
      <c r="C77" s="5">
        <v>94.249303114024499</v>
      </c>
      <c r="D77" s="5">
        <v>2.94</v>
      </c>
      <c r="E77" s="5">
        <v>117.682218877661</v>
      </c>
      <c r="F77" s="5">
        <f t="shared" si="14"/>
        <v>1.3945585218885448</v>
      </c>
      <c r="G77" s="6">
        <v>0.02</v>
      </c>
      <c r="H77" s="6">
        <v>108.85465895279501</v>
      </c>
      <c r="I77" s="21">
        <f t="shared" si="15"/>
        <v>0.54015414575596665</v>
      </c>
      <c r="J77" s="29">
        <f t="shared" si="9"/>
        <v>-0.68191132938935084</v>
      </c>
      <c r="K77" s="6">
        <f t="shared" si="11"/>
        <v>-0.29183570681294846</v>
      </c>
      <c r="L77" s="6">
        <f t="shared" si="12"/>
        <v>4.5459434322851289</v>
      </c>
      <c r="M77" s="30">
        <f t="shared" si="13"/>
        <v>0.77954234049357751</v>
      </c>
      <c r="N77" s="1">
        <v>100.05</v>
      </c>
      <c r="O77" s="1">
        <v>-0.24761459999999999</v>
      </c>
      <c r="P77" s="1">
        <v>-0.53007510000000002</v>
      </c>
    </row>
    <row r="78" spans="1:16" x14ac:dyDescent="0.2">
      <c r="A78" s="20">
        <f t="shared" si="10"/>
        <v>2015.5</v>
      </c>
      <c r="B78" s="4">
        <v>44038.915983054001</v>
      </c>
      <c r="C78" s="8">
        <v>89.223914133058699</v>
      </c>
      <c r="D78" s="5">
        <f>+D77*(0.666666666666667) + D80*(0.333333333333333)</f>
        <v>3.1511111111111099</v>
      </c>
      <c r="E78" s="5">
        <v>119.36357772522</v>
      </c>
      <c r="F78" s="5">
        <f t="shared" si="14"/>
        <v>1.418617894958274</v>
      </c>
      <c r="G78" s="6">
        <v>0.04</v>
      </c>
      <c r="H78" s="6">
        <v>109.17920663405199</v>
      </c>
      <c r="I78" s="21">
        <f t="shared" si="15"/>
        <v>0.29770413883447588</v>
      </c>
      <c r="J78" s="29">
        <f t="shared" si="9"/>
        <v>-0.1734295040527023</v>
      </c>
      <c r="K78" s="6">
        <f t="shared" si="11"/>
        <v>1.9011732998253095E-2</v>
      </c>
      <c r="L78" s="6">
        <f t="shared" si="12"/>
        <v>4.4911490993168366</v>
      </c>
      <c r="M78" s="30">
        <f t="shared" si="13"/>
        <v>-0.44200674157863773</v>
      </c>
      <c r="N78" s="1">
        <v>98.9</v>
      </c>
      <c r="O78" s="1">
        <v>-1.4338059999999999</v>
      </c>
      <c r="P78" s="1">
        <v>-1.1543730000000001</v>
      </c>
    </row>
    <row r="79" spans="1:16" x14ac:dyDescent="0.2">
      <c r="A79" s="20">
        <f t="shared" si="10"/>
        <v>2015.75</v>
      </c>
      <c r="B79" s="4">
        <v>44380.078695424003</v>
      </c>
      <c r="C79" s="8">
        <v>88.645500921370598</v>
      </c>
      <c r="D79" s="5">
        <f>+D77*(1/3) + D80*(2/3)</f>
        <v>3.3622222222222198</v>
      </c>
      <c r="E79" s="5">
        <v>120.507417759622</v>
      </c>
      <c r="F79" s="5">
        <f t="shared" si="14"/>
        <v>0.95371989615440356</v>
      </c>
      <c r="G79" s="6">
        <v>0.12333333333333334</v>
      </c>
      <c r="H79" s="6">
        <v>109.169368371958</v>
      </c>
      <c r="I79" s="21">
        <f t="shared" si="15"/>
        <v>-9.0115194023354661E-3</v>
      </c>
      <c r="J79" s="29">
        <f t="shared" si="9"/>
        <v>5.1325845773830814E-2</v>
      </c>
      <c r="K79" s="6">
        <f t="shared" si="11"/>
        <v>0.11110328174752659</v>
      </c>
      <c r="L79" s="6">
        <f t="shared" si="12"/>
        <v>4.4846452802043713</v>
      </c>
      <c r="M79" s="30">
        <f t="shared" si="13"/>
        <v>0.77169935416119273</v>
      </c>
      <c r="N79" s="1">
        <v>99.3</v>
      </c>
      <c r="O79" s="1">
        <v>-1.0823609999999999</v>
      </c>
      <c r="P79" s="1">
        <v>0.40802759999999999</v>
      </c>
    </row>
    <row r="80" spans="1:16" x14ac:dyDescent="0.2">
      <c r="A80" s="20">
        <f t="shared" si="10"/>
        <v>2016</v>
      </c>
      <c r="B80" s="4">
        <v>44983.596091305997</v>
      </c>
      <c r="C80" s="5">
        <v>90.120226776458793</v>
      </c>
      <c r="D80" s="5">
        <v>3.5733333333333301</v>
      </c>
      <c r="E80" s="5">
        <v>121.449150720275</v>
      </c>
      <c r="F80" s="5">
        <f t="shared" si="14"/>
        <v>0.77843533822177235</v>
      </c>
      <c r="G80" s="6">
        <v>0.28666666666666668</v>
      </c>
      <c r="H80" s="6">
        <v>109.081854984118</v>
      </c>
      <c r="I80" s="21">
        <f t="shared" si="15"/>
        <v>-8.0195099192970076E-2</v>
      </c>
      <c r="J80" s="29">
        <f t="shared" si="9"/>
        <v>-9.0007720220131038E-2</v>
      </c>
      <c r="K80" s="6">
        <f t="shared" si="11"/>
        <v>-0.62814662301183821</v>
      </c>
      <c r="L80" s="6">
        <f t="shared" si="12"/>
        <v>4.5011446319441308</v>
      </c>
      <c r="M80" s="30">
        <f t="shared" si="13"/>
        <v>1.3507201287239923</v>
      </c>
      <c r="N80" s="1">
        <v>99.67</v>
      </c>
      <c r="O80" s="1">
        <v>-0.78803049999999997</v>
      </c>
      <c r="P80" s="1">
        <v>0.3708649</v>
      </c>
    </row>
    <row r="81" spans="1:16" x14ac:dyDescent="0.2">
      <c r="A81" s="20">
        <f t="shared" si="10"/>
        <v>2016.25</v>
      </c>
      <c r="B81" s="4">
        <v>44668.774092569998</v>
      </c>
      <c r="C81" s="5">
        <v>91.210635956663793</v>
      </c>
      <c r="D81" s="5">
        <v>3.52</v>
      </c>
      <c r="E81" s="5">
        <v>122.63599225972899</v>
      </c>
      <c r="F81" s="5">
        <f t="shared" si="14"/>
        <v>0.9724892540357466</v>
      </c>
      <c r="G81" s="6">
        <v>0.25666666666666665</v>
      </c>
      <c r="H81" s="6">
        <v>109.852675982203</v>
      </c>
      <c r="I81" s="21">
        <f t="shared" si="15"/>
        <v>0.70415953090323669</v>
      </c>
      <c r="J81" s="29">
        <f t="shared" si="9"/>
        <v>0.13744082565858573</v>
      </c>
      <c r="K81" s="6">
        <f t="shared" si="11"/>
        <v>-0.2124591838700951</v>
      </c>
      <c r="L81" s="6">
        <f t="shared" si="12"/>
        <v>4.5131715126122698</v>
      </c>
      <c r="M81" s="30">
        <f t="shared" si="13"/>
        <v>-0.70232006615764675</v>
      </c>
      <c r="N81" s="1">
        <v>100.28</v>
      </c>
      <c r="O81" s="1">
        <v>-0.28208250000000001</v>
      </c>
      <c r="P81" s="1">
        <v>0.60314939999999995</v>
      </c>
    </row>
    <row r="82" spans="1:16" x14ac:dyDescent="0.2">
      <c r="A82" s="20">
        <f t="shared" si="10"/>
        <v>2016.5</v>
      </c>
      <c r="B82" s="4">
        <v>44928.383552296997</v>
      </c>
      <c r="C82" s="5">
        <v>93.895600845538098</v>
      </c>
      <c r="D82" s="5">
        <v>3.4933333333333301</v>
      </c>
      <c r="E82" s="5">
        <v>123.53472371533</v>
      </c>
      <c r="F82" s="5">
        <f t="shared" si="14"/>
        <v>0.73017251060170096</v>
      </c>
      <c r="G82" s="6">
        <v>0.29666666666666663</v>
      </c>
      <c r="H82" s="6">
        <v>110.157558290758</v>
      </c>
      <c r="I82" s="21">
        <f t="shared" si="15"/>
        <v>0.27715301946953375</v>
      </c>
      <c r="J82" s="29">
        <f t="shared" si="9"/>
        <v>0.55109230323202585</v>
      </c>
      <c r="K82" s="6">
        <f t="shared" si="11"/>
        <v>-0.44839170404782358</v>
      </c>
      <c r="L82" s="6">
        <f t="shared" si="12"/>
        <v>4.5421835357614597</v>
      </c>
      <c r="M82" s="30">
        <f t="shared" si="13"/>
        <v>0.57950540638085357</v>
      </c>
      <c r="N82" s="1">
        <v>100.02</v>
      </c>
      <c r="O82" s="1">
        <v>-0.64743569999999995</v>
      </c>
      <c r="P82" s="1">
        <v>-0.25524140000000001</v>
      </c>
    </row>
    <row r="83" spans="1:16" x14ac:dyDescent="0.2">
      <c r="A83" s="20">
        <f t="shared" si="10"/>
        <v>2016.75</v>
      </c>
      <c r="B83" s="4">
        <v>44875.624291398002</v>
      </c>
      <c r="C83" s="5">
        <v>95.302513773150693</v>
      </c>
      <c r="D83" s="5">
        <v>3.48</v>
      </c>
      <c r="E83" s="5">
        <v>123.91743711029901</v>
      </c>
      <c r="F83" s="5">
        <f t="shared" si="14"/>
        <v>0.3093233850496091</v>
      </c>
      <c r="G83" s="6">
        <v>0.43</v>
      </c>
      <c r="H83" s="6">
        <v>110.73721720537</v>
      </c>
      <c r="I83" s="21">
        <f t="shared" si="15"/>
        <v>0.52482929380994747</v>
      </c>
      <c r="J83" s="29">
        <f t="shared" si="9"/>
        <v>0.15237520631015133</v>
      </c>
      <c r="K83" s="6">
        <f t="shared" si="11"/>
        <v>-0.39500434502709458</v>
      </c>
      <c r="L83" s="6">
        <f t="shared" si="12"/>
        <v>4.557056187785002</v>
      </c>
      <c r="M83" s="30">
        <f t="shared" si="13"/>
        <v>-0.11749869128507839</v>
      </c>
      <c r="N83" s="1">
        <v>98.92</v>
      </c>
      <c r="O83" s="1">
        <v>-1.866671</v>
      </c>
      <c r="P83" s="1">
        <v>-1.100708</v>
      </c>
    </row>
    <row r="84" spans="1:16" x14ac:dyDescent="0.2">
      <c r="A84" s="20">
        <f t="shared" si="10"/>
        <v>2017</v>
      </c>
      <c r="B84" s="4">
        <v>44745.487377840996</v>
      </c>
      <c r="C84" s="5">
        <v>97.183259929509006</v>
      </c>
      <c r="D84" s="5">
        <v>3.22</v>
      </c>
      <c r="E84" s="5">
        <v>124.794667813373</v>
      </c>
      <c r="F84" s="5">
        <f t="shared" si="14"/>
        <v>0.70542150818608818</v>
      </c>
      <c r="G84" s="6">
        <v>0.59</v>
      </c>
      <c r="H84" s="6">
        <v>111.297101681285</v>
      </c>
      <c r="I84" s="21">
        <f t="shared" si="15"/>
        <v>0.50432353467471103</v>
      </c>
      <c r="J84" s="29">
        <f t="shared" si="9"/>
        <v>0.26139112973304623</v>
      </c>
      <c r="K84" s="6">
        <f t="shared" si="11"/>
        <v>-0.17256758890531465</v>
      </c>
      <c r="L84" s="6">
        <f t="shared" si="12"/>
        <v>4.5765984736868806</v>
      </c>
      <c r="M84" s="30">
        <f t="shared" si="13"/>
        <v>-0.29041595802432596</v>
      </c>
      <c r="N84" s="1">
        <v>101.59</v>
      </c>
      <c r="O84" s="1">
        <v>0.63410880000000003</v>
      </c>
      <c r="P84" s="1">
        <v>2.6652909999999999</v>
      </c>
    </row>
    <row r="85" spans="1:16" x14ac:dyDescent="0.2">
      <c r="A85" s="20">
        <f t="shared" si="10"/>
        <v>2017.25</v>
      </c>
      <c r="B85" s="4">
        <v>45173.819552833003</v>
      </c>
      <c r="C85" s="5">
        <v>94.416836396971703</v>
      </c>
      <c r="D85" s="5">
        <v>2.5833333333333299</v>
      </c>
      <c r="E85" s="5">
        <v>125.46119114168999</v>
      </c>
      <c r="F85" s="5">
        <f t="shared" si="14"/>
        <v>0.53267476502414368</v>
      </c>
      <c r="G85" s="6">
        <v>0.89</v>
      </c>
      <c r="H85" s="6">
        <v>111.654152335112</v>
      </c>
      <c r="I85" s="21">
        <f t="shared" si="15"/>
        <v>0.32029508929891648</v>
      </c>
      <c r="J85" s="29">
        <f t="shared" si="9"/>
        <v>0.5363468399500082</v>
      </c>
      <c r="K85" s="6">
        <f t="shared" si="11"/>
        <v>-0.27309682843295047</v>
      </c>
      <c r="L85" s="6">
        <f t="shared" si="12"/>
        <v>4.547719408911524</v>
      </c>
      <c r="M85" s="30">
        <f t="shared" si="13"/>
        <v>0.95271066789255343</v>
      </c>
      <c r="N85" s="1">
        <v>101.37</v>
      </c>
      <c r="O85" s="1">
        <v>0.26661970000000002</v>
      </c>
      <c r="P85" s="1">
        <v>-0.2158127</v>
      </c>
    </row>
    <row r="86" spans="1:16" x14ac:dyDescent="0.2">
      <c r="A86" s="20">
        <f t="shared" si="10"/>
        <v>2017.5</v>
      </c>
      <c r="B86" s="4">
        <v>46021.207012821003</v>
      </c>
      <c r="C86" s="5">
        <v>94.894922365023007</v>
      </c>
      <c r="D86" s="5">
        <v>2.4700000000000002</v>
      </c>
      <c r="E86" s="5">
        <v>125.590195656848</v>
      </c>
      <c r="F86" s="5">
        <f t="shared" si="14"/>
        <v>0.10277141118999467</v>
      </c>
      <c r="G86" s="6">
        <v>1.0366666666666668</v>
      </c>
      <c r="H86" s="6">
        <v>112.209571880403</v>
      </c>
      <c r="I86" s="21">
        <f t="shared" si="15"/>
        <v>0.49621320908519451</v>
      </c>
      <c r="J86" s="29">
        <f t="shared" si="9"/>
        <v>-4.6481661061104074E-2</v>
      </c>
      <c r="K86" s="6">
        <f t="shared" si="11"/>
        <v>-0.44701097337986884</v>
      </c>
      <c r="L86" s="6">
        <f t="shared" si="12"/>
        <v>4.5527701990740326</v>
      </c>
      <c r="M86" s="30">
        <f t="shared" si="13"/>
        <v>1.8584606672558124</v>
      </c>
      <c r="N86" s="1">
        <v>102.58</v>
      </c>
      <c r="O86" s="1">
        <v>1.293852</v>
      </c>
      <c r="P86" s="1">
        <v>1.2039489999999999</v>
      </c>
    </row>
    <row r="87" spans="1:16" x14ac:dyDescent="0.2">
      <c r="A87" s="20">
        <f t="shared" si="10"/>
        <v>2017.75</v>
      </c>
      <c r="B87" s="4">
        <v>46356.215575363</v>
      </c>
      <c r="C87" s="5">
        <v>96.489252230096099</v>
      </c>
      <c r="D87" s="5">
        <v>2.4950000000000001</v>
      </c>
      <c r="E87" s="5">
        <v>126.42012470436499</v>
      </c>
      <c r="F87" s="5">
        <f t="shared" si="14"/>
        <v>0.65864925424410359</v>
      </c>
      <c r="G87" s="6">
        <v>1.2066666666666668</v>
      </c>
      <c r="H87" s="6">
        <v>113.007221732552</v>
      </c>
      <c r="I87" s="21">
        <f t="shared" si="15"/>
        <v>0.70834254810048236</v>
      </c>
      <c r="J87" s="29">
        <f t="shared" si="9"/>
        <v>-6.6296924684072778E-2</v>
      </c>
      <c r="K87" s="6">
        <f t="shared" si="11"/>
        <v>-0.24132402993853885</v>
      </c>
      <c r="L87" s="6">
        <f t="shared" si="12"/>
        <v>4.5694316262882628</v>
      </c>
      <c r="M87" s="30">
        <f t="shared" si="13"/>
        <v>0.72530716230332359</v>
      </c>
      <c r="N87" s="1">
        <v>103.47</v>
      </c>
      <c r="O87" s="1">
        <v>2.0097299999999998</v>
      </c>
      <c r="P87" s="1">
        <v>0.8976288</v>
      </c>
    </row>
    <row r="88" spans="1:16" x14ac:dyDescent="0.2">
      <c r="A88" s="20">
        <f t="shared" si="10"/>
        <v>2018</v>
      </c>
      <c r="B88" s="4">
        <v>47014.485751458</v>
      </c>
      <c r="C88" s="5">
        <v>99.079878808545601</v>
      </c>
      <c r="D88" s="5">
        <v>2.54666666666667</v>
      </c>
      <c r="E88" s="5">
        <v>127.28875510642899</v>
      </c>
      <c r="F88" s="5">
        <f t="shared" si="14"/>
        <v>0.68474843824208875</v>
      </c>
      <c r="G88" s="6">
        <v>1.5599999999999998</v>
      </c>
      <c r="H88" s="6">
        <v>113.622457979443</v>
      </c>
      <c r="I88" s="21">
        <f t="shared" si="15"/>
        <v>0.54294544214155138</v>
      </c>
      <c r="J88" s="29">
        <f t="shared" si="9"/>
        <v>-5.5743890278758812E-2</v>
      </c>
      <c r="K88" s="6">
        <f t="shared" si="11"/>
        <v>-0.49404942034640964</v>
      </c>
      <c r="L88" s="6">
        <f t="shared" si="12"/>
        <v>4.595926381452724</v>
      </c>
      <c r="M88" s="30">
        <f t="shared" si="13"/>
        <v>1.4100377809743492</v>
      </c>
      <c r="N88" s="1">
        <v>103.38</v>
      </c>
      <c r="O88" s="1">
        <v>1.7396339999999999</v>
      </c>
      <c r="P88" s="1">
        <v>-9.7366300000000003E-2</v>
      </c>
    </row>
    <row r="89" spans="1:16" x14ac:dyDescent="0.2">
      <c r="A89" s="20">
        <f t="shared" si="10"/>
        <v>2018.25</v>
      </c>
      <c r="B89" s="4">
        <v>47487.785942969</v>
      </c>
      <c r="C89" s="5">
        <v>98.430171989355102</v>
      </c>
      <c r="D89" s="5">
        <v>2.6133333333333302</v>
      </c>
      <c r="E89" s="5">
        <v>128.16598580950301</v>
      </c>
      <c r="F89" s="5">
        <f t="shared" si="14"/>
        <v>0.68680201287456555</v>
      </c>
      <c r="G89" s="6">
        <v>1.8399999999999999</v>
      </c>
      <c r="H89" s="6">
        <v>114.63381675296</v>
      </c>
      <c r="I89" s="21">
        <f t="shared" si="15"/>
        <v>0.88616656266733429</v>
      </c>
      <c r="J89" s="29">
        <f t="shared" si="9"/>
        <v>-9.7657005533358099E-2</v>
      </c>
      <c r="K89" s="6">
        <f t="shared" si="11"/>
        <v>0.12749401677698557</v>
      </c>
      <c r="L89" s="6">
        <f t="shared" si="12"/>
        <v>4.5893473829661717</v>
      </c>
      <c r="M89" s="30">
        <f t="shared" si="13"/>
        <v>1.0016778230461654</v>
      </c>
      <c r="N89" s="1">
        <v>103.11</v>
      </c>
      <c r="O89" s="1">
        <v>1.3039259999999999</v>
      </c>
      <c r="P89" s="1">
        <v>-0.26296229999999998</v>
      </c>
    </row>
    <row r="90" spans="1:16" x14ac:dyDescent="0.2">
      <c r="A90" s="20">
        <f t="shared" si="10"/>
        <v>2018.5</v>
      </c>
      <c r="B90" s="4">
        <v>47298.458290262002</v>
      </c>
      <c r="C90" s="5">
        <v>95.987120037906095</v>
      </c>
      <c r="D90" s="5">
        <v>2.6366666666666698</v>
      </c>
      <c r="E90" s="5">
        <v>129.124919372178</v>
      </c>
      <c r="F90" s="5">
        <f t="shared" si="14"/>
        <v>0.74541150388682809</v>
      </c>
      <c r="G90" s="6">
        <v>2.0399999999999996</v>
      </c>
      <c r="H90" s="6">
        <v>115.011521263551</v>
      </c>
      <c r="I90" s="21">
        <f t="shared" si="15"/>
        <v>0.32894623895662889</v>
      </c>
      <c r="J90" s="29">
        <f t="shared" si="9"/>
        <v>4.1601801283630557E-2</v>
      </c>
      <c r="K90" s="6">
        <f t="shared" si="11"/>
        <v>-1.4628190799803598E-2</v>
      </c>
      <c r="L90" s="6">
        <f t="shared" si="12"/>
        <v>4.5642140161949252</v>
      </c>
      <c r="M90" s="30">
        <f t="shared" si="13"/>
        <v>-0.39948392517157316</v>
      </c>
      <c r="N90" s="1">
        <v>101.22</v>
      </c>
      <c r="O90" s="1">
        <v>-0.73179329999999998</v>
      </c>
      <c r="P90" s="1">
        <v>-1.8914409999999999</v>
      </c>
    </row>
    <row r="91" spans="1:16" x14ac:dyDescent="0.2">
      <c r="A91" s="20">
        <f t="shared" si="10"/>
        <v>2018.75</v>
      </c>
      <c r="B91" s="4">
        <v>47842.640685259001</v>
      </c>
      <c r="C91" s="5">
        <v>94.919414264703803</v>
      </c>
      <c r="D91" s="5">
        <v>2.835</v>
      </c>
      <c r="E91" s="5">
        <v>129.91614706514699</v>
      </c>
      <c r="F91" s="5">
        <f t="shared" si="14"/>
        <v>0.61089167404437816</v>
      </c>
      <c r="G91" s="6">
        <v>2.3166666666666669</v>
      </c>
      <c r="H91" s="6">
        <v>115.61211998760299</v>
      </c>
      <c r="I91" s="21">
        <f t="shared" si="15"/>
        <v>0.52084866804049668</v>
      </c>
      <c r="J91" s="29">
        <f t="shared" si="9"/>
        <v>0.47213460436053012</v>
      </c>
      <c r="K91" s="6">
        <f t="shared" si="11"/>
        <v>0.26891492486840196</v>
      </c>
      <c r="L91" s="6">
        <f t="shared" si="12"/>
        <v>4.5530282607173369</v>
      </c>
      <c r="M91" s="30">
        <f t="shared" si="13"/>
        <v>1.1439605709005818</v>
      </c>
      <c r="N91" s="1">
        <v>100.6</v>
      </c>
      <c r="O91" s="1">
        <v>-1.5216860000000001</v>
      </c>
      <c r="P91" s="1">
        <v>-0.62032319999999996</v>
      </c>
    </row>
    <row r="92" spans="1:16" x14ac:dyDescent="0.2">
      <c r="A92" s="20">
        <f t="shared" si="10"/>
        <v>2019</v>
      </c>
      <c r="B92" s="4">
        <v>47834.586658501998</v>
      </c>
      <c r="C92" s="5">
        <v>95.649683039573404</v>
      </c>
      <c r="D92" s="5">
        <v>3.0049999999999999</v>
      </c>
      <c r="E92" s="5">
        <v>130.212857450011</v>
      </c>
      <c r="F92" s="5">
        <f t="shared" si="14"/>
        <v>0.22812566718091176</v>
      </c>
      <c r="G92" s="6">
        <v>2.3866666666666667</v>
      </c>
      <c r="H92" s="6">
        <v>115.964658773178</v>
      </c>
      <c r="I92" s="21">
        <f t="shared" si="15"/>
        <v>0.30446840119351393</v>
      </c>
      <c r="J92" s="29">
        <f t="shared" si="9"/>
        <v>-0.26637593114877678</v>
      </c>
      <c r="K92" s="6">
        <f t="shared" si="11"/>
        <v>2.0589397227510631E-2</v>
      </c>
      <c r="L92" s="6">
        <f t="shared" si="12"/>
        <v>4.5606923821282717</v>
      </c>
      <c r="M92" s="30">
        <f t="shared" si="13"/>
        <v>-1.68358281268155E-2</v>
      </c>
      <c r="N92" s="1">
        <v>101.17</v>
      </c>
      <c r="O92" s="1">
        <v>-1.157613</v>
      </c>
      <c r="P92" s="1">
        <v>0.56467440000000002</v>
      </c>
    </row>
    <row r="93" spans="1:16" x14ac:dyDescent="0.2">
      <c r="A93" s="20">
        <f t="shared" si="10"/>
        <v>2019.25</v>
      </c>
      <c r="B93" s="4">
        <v>48267.718407726003</v>
      </c>
      <c r="C93" s="5">
        <v>94.409148144664798</v>
      </c>
      <c r="D93" s="5">
        <v>2.87666666666667</v>
      </c>
      <c r="E93" s="5">
        <v>131.537303805633</v>
      </c>
      <c r="F93" s="5">
        <f t="shared" si="14"/>
        <v>1.0120014083752515</v>
      </c>
      <c r="G93" s="6">
        <v>2.3000000000000003</v>
      </c>
      <c r="H93" s="6">
        <v>116.62835269752701</v>
      </c>
      <c r="I93" s="21">
        <f t="shared" si="15"/>
        <v>0.57069274908405632</v>
      </c>
      <c r="J93" s="29">
        <f t="shared" si="9"/>
        <v>0.12732127148860073</v>
      </c>
      <c r="K93" s="6">
        <f t="shared" si="11"/>
        <v>0.24418037106215262</v>
      </c>
      <c r="L93" s="6">
        <f t="shared" si="12"/>
        <v>4.5476379767682751</v>
      </c>
      <c r="M93" s="30">
        <f t="shared" si="13"/>
        <v>0.90140331532175821</v>
      </c>
      <c r="N93" s="1">
        <v>101.95</v>
      </c>
      <c r="O93" s="1">
        <v>-0.58995260000000005</v>
      </c>
      <c r="P93" s="1">
        <v>0.78192139999999999</v>
      </c>
    </row>
    <row r="94" spans="1:16" x14ac:dyDescent="0.2">
      <c r="A94" s="20">
        <f t="shared" si="10"/>
        <v>2019.5</v>
      </c>
      <c r="B94" s="4">
        <v>48395.852759326001</v>
      </c>
      <c r="C94" s="5">
        <v>92.761331390227198</v>
      </c>
      <c r="D94" s="5">
        <v>2.1533333333333302</v>
      </c>
      <c r="E94" s="5">
        <v>132.30703074607601</v>
      </c>
      <c r="F94" s="5">
        <f t="shared" si="14"/>
        <v>0.58347216396619217</v>
      </c>
      <c r="G94" s="6">
        <v>1.9799999999999998</v>
      </c>
      <c r="H94" s="6">
        <v>117.00816572996899</v>
      </c>
      <c r="I94" s="21">
        <f t="shared" si="15"/>
        <v>0.32513184975035969</v>
      </c>
      <c r="J94" s="29">
        <f t="shared" si="9"/>
        <v>-0.43208349525589718</v>
      </c>
      <c r="K94" s="6">
        <f t="shared" si="11"/>
        <v>8.1949804630077061E-2</v>
      </c>
      <c r="L94" s="6">
        <f t="shared" si="12"/>
        <v>4.5300298653484408</v>
      </c>
      <c r="M94" s="30">
        <f t="shared" si="13"/>
        <v>0.26511419990562501</v>
      </c>
      <c r="N94" s="1">
        <v>101.47</v>
      </c>
      <c r="O94" s="1">
        <v>-1.261145</v>
      </c>
      <c r="P94" s="1">
        <v>-0.48242950000000001</v>
      </c>
    </row>
    <row r="95" spans="1:16" x14ac:dyDescent="0.2">
      <c r="A95" s="20">
        <f t="shared" si="10"/>
        <v>2019.75</v>
      </c>
      <c r="B95" s="4">
        <v>46484.130190759999</v>
      </c>
      <c r="C95" s="5">
        <v>87.266987854989907</v>
      </c>
      <c r="D95" s="5">
        <v>1.8</v>
      </c>
      <c r="E95" s="5">
        <v>133.597075897656</v>
      </c>
      <c r="F95" s="5">
        <f t="shared" si="14"/>
        <v>0.97031617109752943</v>
      </c>
      <c r="G95" s="6">
        <v>1.5766666666666669</v>
      </c>
      <c r="H95" s="6">
        <v>117.48780483118701</v>
      </c>
      <c r="I95" s="21">
        <f t="shared" si="15"/>
        <v>0.40908146008415969</v>
      </c>
      <c r="J95" s="29">
        <f t="shared" si="9"/>
        <v>-0.61261358233007934</v>
      </c>
      <c r="K95" s="6">
        <f t="shared" si="11"/>
        <v>6.657885243432915E-2</v>
      </c>
      <c r="L95" s="6">
        <f t="shared" si="12"/>
        <v>4.4689722453393799</v>
      </c>
      <c r="M95" s="30">
        <f t="shared" si="13"/>
        <v>-4.0303155138778024</v>
      </c>
      <c r="N95" s="1">
        <v>100.76</v>
      </c>
      <c r="O95" s="1">
        <v>-2.1496940000000002</v>
      </c>
      <c r="P95" s="1">
        <v>-0.70380399999999999</v>
      </c>
    </row>
    <row r="96" spans="1:16" x14ac:dyDescent="0.2">
      <c r="A96" s="20">
        <f t="shared" si="10"/>
        <v>2020</v>
      </c>
      <c r="B96" s="4">
        <v>47554.747042431998</v>
      </c>
      <c r="C96" s="8">
        <v>82.950473480244696</v>
      </c>
      <c r="D96" s="5">
        <f>D95*(4/5) + D100*(1/5)</f>
        <v>1.4880000000000002</v>
      </c>
      <c r="E96" s="5">
        <v>135.029026015911</v>
      </c>
      <c r="F96" s="5">
        <f t="shared" si="14"/>
        <v>1.0661388983461251</v>
      </c>
      <c r="G96" s="6">
        <v>1.1100000000000001</v>
      </c>
      <c r="H96" s="6">
        <v>117.870334532819</v>
      </c>
      <c r="I96" s="21">
        <f t="shared" si="15"/>
        <v>0.32506208580693752</v>
      </c>
      <c r="J96" s="29">
        <f t="shared" si="9"/>
        <v>9.9347208514233287E-2</v>
      </c>
      <c r="K96" s="6">
        <f t="shared" si="11"/>
        <v>0.71016021924303896</v>
      </c>
      <c r="L96" s="6">
        <f t="shared" si="12"/>
        <v>4.4182437246399902</v>
      </c>
      <c r="M96" s="30">
        <f t="shared" si="13"/>
        <v>2.2770648535164639</v>
      </c>
      <c r="N96" s="1">
        <v>102.17</v>
      </c>
      <c r="O96" s="1">
        <v>-0.98951180000000005</v>
      </c>
      <c r="P96" s="1">
        <v>1.409904</v>
      </c>
    </row>
    <row r="97" spans="1:16" x14ac:dyDescent="0.2">
      <c r="A97" s="20">
        <f t="shared" si="10"/>
        <v>2020.25</v>
      </c>
      <c r="B97" s="4">
        <v>41407.952119517999</v>
      </c>
      <c r="C97" s="8">
        <v>83.9204070022531</v>
      </c>
      <c r="D97" s="5">
        <f>D95*(3/5) + D100*(2/5)</f>
        <v>1.1760000000000002</v>
      </c>
      <c r="E97" s="5">
        <v>135.39453880885799</v>
      </c>
      <c r="F97" s="5">
        <f t="shared" si="14"/>
        <v>0.27032630515755329</v>
      </c>
      <c r="G97" s="6">
        <v>0.14333333333333334</v>
      </c>
      <c r="H97" s="6">
        <v>117.363701325051</v>
      </c>
      <c r="I97" s="21">
        <f t="shared" si="15"/>
        <v>-0.43074888315288717</v>
      </c>
      <c r="J97" s="29">
        <f t="shared" si="9"/>
        <v>-4.3234548290660424E-2</v>
      </c>
      <c r="K97" s="6">
        <f t="shared" si="11"/>
        <v>-0.86430924142284482</v>
      </c>
      <c r="L97" s="6">
        <f t="shared" si="12"/>
        <v>4.4298688139601357</v>
      </c>
      <c r="M97" s="30">
        <f t="shared" si="13"/>
        <v>-13.840867408903712</v>
      </c>
      <c r="N97" s="1">
        <v>103.66</v>
      </c>
      <c r="O97" s="1">
        <v>0.24147859999999999</v>
      </c>
      <c r="P97" s="1">
        <v>1.4883960000000001</v>
      </c>
    </row>
    <row r="98" spans="1:16" x14ac:dyDescent="0.2">
      <c r="A98" s="20">
        <f t="shared" si="10"/>
        <v>2020.5</v>
      </c>
      <c r="B98" s="4">
        <v>43616.030770846002</v>
      </c>
      <c r="C98" s="8">
        <v>86.073835728149106</v>
      </c>
      <c r="D98" s="5">
        <f>D95*(2/5) + D100*(3/5)</f>
        <v>0.8640000000000001</v>
      </c>
      <c r="E98" s="5">
        <v>135.850354762417</v>
      </c>
      <c r="F98" s="5">
        <f t="shared" si="14"/>
        <v>0.33609213919154612</v>
      </c>
      <c r="G98" s="6">
        <v>0.11333333333333334</v>
      </c>
      <c r="H98" s="6">
        <v>118.43418218032301</v>
      </c>
      <c r="I98" s="21">
        <f t="shared" si="15"/>
        <v>0.90797100775699136</v>
      </c>
      <c r="J98" s="29">
        <f t="shared" si="9"/>
        <v>-0.94427685526777827</v>
      </c>
      <c r="K98" s="6">
        <f t="shared" si="11"/>
        <v>-0.45148699938201142</v>
      </c>
      <c r="L98" s="6">
        <f t="shared" si="12"/>
        <v>4.4552054828844758</v>
      </c>
      <c r="M98" s="30">
        <f t="shared" si="13"/>
        <v>5.1951818440498343</v>
      </c>
      <c r="N98" s="1">
        <v>104.76</v>
      </c>
      <c r="O98" s="1">
        <v>1.099693</v>
      </c>
      <c r="P98" s="1">
        <v>1.103745</v>
      </c>
    </row>
    <row r="99" spans="1:16" x14ac:dyDescent="0.2">
      <c r="A99" s="20">
        <f t="shared" si="10"/>
        <v>2020.75</v>
      </c>
      <c r="B99" s="4">
        <v>46537.443170965002</v>
      </c>
      <c r="C99" s="8">
        <v>86.669774649497299</v>
      </c>
      <c r="D99" s="5">
        <f>D95*(1/5) + D100*(4/5)</f>
        <v>0.55200000000000005</v>
      </c>
      <c r="E99" s="5">
        <v>137.45001075037601</v>
      </c>
      <c r="F99" s="5">
        <f t="shared" si="14"/>
        <v>1.1706345527864315</v>
      </c>
      <c r="G99" s="6">
        <v>9.3333333333333338E-2</v>
      </c>
      <c r="H99" s="6">
        <v>119.006394336735</v>
      </c>
      <c r="I99" s="21">
        <f t="shared" si="15"/>
        <v>0.4819843958898673</v>
      </c>
      <c r="J99" s="29">
        <f t="shared" si="9"/>
        <v>-0.98046529970445828</v>
      </c>
      <c r="K99" s="6">
        <f t="shared" si="11"/>
        <v>-1.020476716975216</v>
      </c>
      <c r="L99" s="6">
        <f t="shared" si="12"/>
        <v>4.4621052030447688</v>
      </c>
      <c r="M99" s="30">
        <f t="shared" si="13"/>
        <v>6.4832457044772696</v>
      </c>
      <c r="N99" s="1">
        <v>104.98</v>
      </c>
      <c r="O99" s="1">
        <v>1.109869</v>
      </c>
      <c r="P99" s="1">
        <v>0.21934509999999999</v>
      </c>
    </row>
    <row r="100" spans="1:16" x14ac:dyDescent="0.2">
      <c r="A100" s="20">
        <f t="shared" si="10"/>
        <v>2021</v>
      </c>
      <c r="B100" s="4">
        <v>48285.333971371001</v>
      </c>
      <c r="C100" s="5">
        <v>90.471192172681697</v>
      </c>
      <c r="D100" s="5">
        <v>0.24</v>
      </c>
      <c r="E100" s="5">
        <v>139.010965383788</v>
      </c>
      <c r="F100" s="5">
        <f t="shared" si="14"/>
        <v>1.1292524848129482</v>
      </c>
      <c r="G100" s="6">
        <v>4.9999999999999996E-2</v>
      </c>
      <c r="H100" s="6">
        <v>120.268032987536</v>
      </c>
      <c r="I100" s="21">
        <f t="shared" si="15"/>
        <v>1.0545634626877742</v>
      </c>
      <c r="J100" s="29">
        <f t="shared" si="9"/>
        <v>-0.82576223056970433</v>
      </c>
      <c r="K100" s="6">
        <f t="shared" si="11"/>
        <v>-1.4766697413021279</v>
      </c>
      <c r="L100" s="6">
        <f t="shared" si="12"/>
        <v>4.5050314814978778</v>
      </c>
      <c r="M100" s="30">
        <f t="shared" si="13"/>
        <v>3.6870652011035787</v>
      </c>
      <c r="N100" s="1">
        <v>105.86</v>
      </c>
      <c r="O100" s="1">
        <v>1.7672730000000001</v>
      </c>
      <c r="P100" s="1">
        <v>0.88212590000000002</v>
      </c>
    </row>
    <row r="101" spans="1:16" x14ac:dyDescent="0.2">
      <c r="A101" s="20">
        <f t="shared" si="10"/>
        <v>2021.25</v>
      </c>
      <c r="B101" s="4">
        <v>48945.235101001002</v>
      </c>
      <c r="C101" s="5">
        <v>91.452402189700905</v>
      </c>
      <c r="D101" s="5">
        <v>0.30666666666666698</v>
      </c>
      <c r="E101" s="5">
        <v>140.258009030316</v>
      </c>
      <c r="F101" s="5">
        <f t="shared" si="14"/>
        <v>0.89308304854771592</v>
      </c>
      <c r="G101" s="6">
        <v>2.6666666666666668E-2</v>
      </c>
      <c r="H101" s="6">
        <v>122.09967641159</v>
      </c>
      <c r="I101" s="21">
        <f t="shared" si="15"/>
        <v>1.5114870704485028</v>
      </c>
      <c r="J101" s="29">
        <f t="shared" si="9"/>
        <v>-1.4787448518589486</v>
      </c>
      <c r="K101" s="6">
        <f t="shared" si="11"/>
        <v>-1.4122469356175782</v>
      </c>
      <c r="L101" s="6">
        <f t="shared" si="12"/>
        <v>4.5158186422852218</v>
      </c>
      <c r="M101" s="30">
        <f t="shared" si="13"/>
        <v>1.3574152008875018</v>
      </c>
      <c r="N101" s="1">
        <v>108.01</v>
      </c>
      <c r="O101" s="1">
        <v>3.6490659999999999</v>
      </c>
      <c r="P101" s="1">
        <v>2.1475909999999998</v>
      </c>
    </row>
    <row r="102" spans="1:16" x14ac:dyDescent="0.2">
      <c r="A102" s="20">
        <f t="shared" si="10"/>
        <v>2021.5</v>
      </c>
      <c r="B102" s="4">
        <v>51117.959854729001</v>
      </c>
      <c r="C102" s="5">
        <v>86.193996782522703</v>
      </c>
      <c r="D102" s="5">
        <v>1.34</v>
      </c>
      <c r="E102" s="5">
        <v>142.48978714255</v>
      </c>
      <c r="F102" s="5">
        <f t="shared" si="14"/>
        <v>1.5786679807407111</v>
      </c>
      <c r="G102" s="6">
        <v>4.6666666666666669E-2</v>
      </c>
      <c r="H102" s="6">
        <v>123.86968880600099</v>
      </c>
      <c r="I102" s="21">
        <f t="shared" si="15"/>
        <v>1.4392385378685368</v>
      </c>
      <c r="J102" s="29">
        <f t="shared" si="9"/>
        <v>-2.4192060802069038</v>
      </c>
      <c r="K102" s="6">
        <f t="shared" si="11"/>
        <v>-1.6842554955955769</v>
      </c>
      <c r="L102" s="6">
        <f t="shared" si="12"/>
        <v>4.4566005323503006</v>
      </c>
      <c r="M102" s="30">
        <f t="shared" si="13"/>
        <v>4.3433878254836245</v>
      </c>
      <c r="N102" s="1">
        <v>106.8</v>
      </c>
      <c r="O102" s="1">
        <v>2.3205249999999999</v>
      </c>
      <c r="P102" s="1">
        <v>-1.21109</v>
      </c>
    </row>
    <row r="103" spans="1:16" x14ac:dyDescent="0.2">
      <c r="A103" s="20">
        <f t="shared" si="10"/>
        <v>2021.75</v>
      </c>
      <c r="B103" s="4">
        <v>52006.921519643001</v>
      </c>
      <c r="C103" s="5">
        <v>82.788453051166499</v>
      </c>
      <c r="D103" s="5">
        <v>3.8633333333333302</v>
      </c>
      <c r="E103" s="5">
        <v>146.566329821544</v>
      </c>
      <c r="F103" s="5">
        <f t="shared" si="14"/>
        <v>2.8207761312482482</v>
      </c>
      <c r="G103" s="6">
        <v>5.3333333333333337E-2</v>
      </c>
      <c r="H103" s="6">
        <v>126.02494292090201</v>
      </c>
      <c r="I103" s="21">
        <f t="shared" si="15"/>
        <v>1.7249730749638204</v>
      </c>
      <c r="J103" s="29">
        <f t="shared" si="9"/>
        <v>-1.6915007462902643</v>
      </c>
      <c r="K103" s="6">
        <f t="shared" si="11"/>
        <v>-1.9316536085143721</v>
      </c>
      <c r="L103" s="6">
        <f t="shared" si="12"/>
        <v>4.4162885957625493</v>
      </c>
      <c r="M103" s="30">
        <f t="shared" si="13"/>
        <v>1.7240915542725332</v>
      </c>
      <c r="N103" s="1">
        <v>105.18</v>
      </c>
      <c r="O103" s="1">
        <v>0.61631409999999998</v>
      </c>
      <c r="P103" s="1">
        <v>-1.6211009999999999</v>
      </c>
    </row>
    <row r="104" spans="1:16" x14ac:dyDescent="0.2">
      <c r="A104" s="20">
        <f t="shared" si="10"/>
        <v>2022</v>
      </c>
      <c r="B104" s="4">
        <v>51713.695870349002</v>
      </c>
      <c r="C104" s="5">
        <v>85.247053688776006</v>
      </c>
      <c r="D104" s="5">
        <v>6.47</v>
      </c>
      <c r="E104" s="5">
        <v>150.56116964093701</v>
      </c>
      <c r="F104" s="5">
        <f t="shared" si="14"/>
        <v>2.6891355132612205</v>
      </c>
      <c r="G104" s="6">
        <v>0.30666666666666664</v>
      </c>
      <c r="H104" s="6">
        <v>128.54933924523701</v>
      </c>
      <c r="I104" s="21">
        <f t="shared" si="15"/>
        <v>1.9832946588556055</v>
      </c>
      <c r="J104" s="29">
        <f t="shared" si="9"/>
        <v>-2.1517509220191355</v>
      </c>
      <c r="K104" s="6">
        <f t="shared" si="11"/>
        <v>-2.0046172202417778</v>
      </c>
      <c r="L104" s="6">
        <f t="shared" si="12"/>
        <v>4.4455535547309148</v>
      </c>
      <c r="M104" s="30">
        <f t="shared" si="13"/>
        <v>-0.56541589871397235</v>
      </c>
      <c r="N104" s="1">
        <v>105.16</v>
      </c>
      <c r="O104" s="1">
        <v>0.45453480000000002</v>
      </c>
      <c r="P104" s="1">
        <v>-2.1614100000000001E-2</v>
      </c>
    </row>
    <row r="105" spans="1:16" x14ac:dyDescent="0.2">
      <c r="A105" s="22">
        <f t="shared" si="10"/>
        <v>2022.25</v>
      </c>
      <c r="B105" s="23">
        <v>51710.0642773</v>
      </c>
      <c r="C105" s="24">
        <v>85.384722740043102</v>
      </c>
      <c r="D105" s="24">
        <v>8.6333333333333293</v>
      </c>
      <c r="E105" s="24">
        <v>156.41367447860699</v>
      </c>
      <c r="F105" s="24">
        <f t="shared" si="14"/>
        <v>3.8134812606504198</v>
      </c>
      <c r="G105" s="25">
        <v>1.0766666666666667</v>
      </c>
      <c r="H105" s="25">
        <v>131.308627423665</v>
      </c>
      <c r="I105" s="26">
        <f t="shared" si="15"/>
        <v>2.1237693232015076</v>
      </c>
      <c r="J105" s="31">
        <f t="shared" si="9"/>
        <v>2.0917801184215268</v>
      </c>
      <c r="K105" s="25">
        <f t="shared" si="11"/>
        <v>0.26808668159108429</v>
      </c>
      <c r="L105" s="25">
        <f t="shared" si="12"/>
        <v>4.4471671941598725</v>
      </c>
      <c r="M105" s="32">
        <f t="shared" si="13"/>
        <v>-7.0227441844039618E-3</v>
      </c>
      <c r="N105" s="1">
        <v>104.71</v>
      </c>
      <c r="O105" s="1">
        <v>-0.1037463</v>
      </c>
      <c r="P105" s="1">
        <v>-0.44453429999999999</v>
      </c>
    </row>
  </sheetData>
  <conditionalFormatting sqref="B1:M1">
    <cfRule type="expression" dxfId="0" priority="1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matlab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Chernin</dc:creator>
  <cp:lastModifiedBy>Microsoft Office User</cp:lastModifiedBy>
  <dcterms:created xsi:type="dcterms:W3CDTF">2022-08-26T21:28:03Z</dcterms:created>
  <dcterms:modified xsi:type="dcterms:W3CDTF">2022-12-01T22:31:14Z</dcterms:modified>
</cp:coreProperties>
</file>